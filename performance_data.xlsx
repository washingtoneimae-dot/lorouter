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wap Isolation" sheetId="2" state="visible" r:id="rId2"/>
    <sheet name="Addition Flips &amp; Gating Fix" sheetId="3" state="visible" r:id="rId3"/>
    <sheet name="MSE by Domain (Addition Impact)" sheetId="4" state="visible" r:id="rId4"/>
    <sheet name="Multi-Seed Stability" sheetId="5" state="visible" r:id="rId5"/>
    <sheet name="Capacity Ablation" sheetId="6" state="visible" r:id="rId6"/>
    <sheet name="Multi-Dimension Compounding" sheetId="7" state="visible" r:id="rId7"/>
    <sheet name="Real Text Validation" sheetId="8" state="visible" r:id="rId8"/>
    <sheet name="Printer Prototype (Calibration)" sheetId="9" state="visible" r:id="rId9"/>
    <sheet name="Boundary Solutions Comparison" sheetId="10" state="visible" r:id="rId10"/>
    <sheet name="New Profiler Dataset Desig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+0.00%;-0.00%"/>
    <numFmt numFmtId="165" formatCode="0.00000"/>
    <numFmt numFmtId="166" formatCode="0.0%"/>
    <numFmt numFmtId="167" formatCode="0.000%"/>
    <numFmt numFmtId="168" formatCode="0.0000"/>
    <numFmt numFmtId="169" formatCode="+0.0%;-0.0%"/>
  </numFmts>
  <fonts count="11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</font>
    <font>
      <name val="Arial"/>
      <color rgb="00595959"/>
      <sz val="10"/>
    </font>
    <font>
      <name val="Arial"/>
      <b val="1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165" fontId="4" fillId="0" borderId="0" pivotButton="0" quotePrefix="0" xfId="0"/>
    <xf numFmtId="164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6" fontId="4" fillId="0" borderId="0" pivotButton="0" quotePrefix="0" xfId="0"/>
    <xf numFmtId="0" fontId="4" fillId="0" borderId="0" applyAlignment="1" pivotButton="0" quotePrefix="0" xfId="0">
      <alignment horizontal="center"/>
    </xf>
    <xf numFmtId="0" fontId="8" fillId="0" borderId="0" pivotButton="0" quotePrefix="0" xfId="0"/>
    <xf numFmtId="167" fontId="4" fillId="0" borderId="0" pivotButton="0" quotePrefix="0" xfId="0"/>
    <xf numFmtId="2" fontId="7" fillId="0" borderId="0" pivotButton="0" quotePrefix="0" xfId="0"/>
    <xf numFmtId="10" fontId="7" fillId="0" borderId="0" pivotButton="0" quotePrefix="0" xfId="0"/>
    <xf numFmtId="0" fontId="4" fillId="0" borderId="0" applyAlignment="1" pivotButton="0" quotePrefix="0" xfId="0">
      <alignment wrapText="1"/>
    </xf>
    <xf numFmtId="168" fontId="4" fillId="0" borderId="0" pivotButton="0" quotePrefix="0" xfId="0"/>
    <xf numFmtId="10" fontId="4" fillId="0" borderId="0" pivotButton="0" quotePrefix="0" xfId="0"/>
    <xf numFmtId="169" fontId="4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MSE Before vs After Swap, by Domain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'Swap Isolation'!B4</f>
            </strRef>
          </tx>
          <spPr>
            <a:ln>
              <a:prstDash val="solid"/>
            </a:ln>
          </spPr>
          <cat>
            <numRef>
              <f>'Swap Isolation'!$A$5:$A$8</f>
            </numRef>
          </cat>
          <val>
            <numRef>
              <f>'Swap Isolation'!$B$5:$B$8</f>
            </numRef>
          </val>
        </ser>
        <ser>
          <idx val="1"/>
          <order val="1"/>
          <tx>
            <strRef>
              <f>'Swap Isolation'!C4</f>
            </strRef>
          </tx>
          <spPr>
            <a:ln>
              <a:prstDash val="solid"/>
            </a:ln>
          </spPr>
          <cat>
            <numRef>
              <f>'Swap Isolation'!$A$5:$A$8</f>
            </numRef>
          </cat>
          <val>
            <numRef>
              <f>'Swap Isolation'!$C$5:$C$8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MSE Before vs After Adding a New Domain, by Domain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'MSE by Domain (Addition Impact)'!B4</f>
            </strRef>
          </tx>
          <spPr>
            <a:ln>
              <a:prstDash val="solid"/>
            </a:ln>
          </spPr>
          <cat>
            <numRef>
              <f>'MSE by Domain (Addition Impact)'!$A$5:$A$8</f>
            </numRef>
          </cat>
          <val>
            <numRef>
              <f>'MSE by Domain (Addition Impact)'!$B$5:$B$8</f>
            </numRef>
          </val>
        </ser>
        <ser>
          <idx val="1"/>
          <order val="1"/>
          <tx>
            <strRef>
              <f>'MSE by Domain (Addition Impact)'!C4</f>
            </strRef>
          </tx>
          <spPr>
            <a:ln>
              <a:prstDash val="solid"/>
            </a:ln>
          </spPr>
          <cat>
            <numRef>
              <f>'MSE by Domain (Addition Impact)'!$A$5:$A$8</f>
            </numRef>
          </cat>
          <val>
            <numRef>
              <f>'MSE by Domain (Addition Impact)'!$C$5:$C$8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Flip Frequency Across 5 Seeds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'Multi-Seed Stability'!B4</f>
            </strRef>
          </tx>
          <spPr>
            <a:ln>
              <a:prstDash val="solid"/>
            </a:ln>
          </spPr>
          <cat>
            <numRef>
              <f>'Multi-Seed Stability'!$A$5:$A$13</f>
            </numRef>
          </cat>
          <val>
            <numRef>
              <f>'Multi-Seed Stability'!$B$5:$B$13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Seeds (of 5)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Small vs Large Gate: No Systematic Advantage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'Capacity Ablation'!B4</f>
            </strRef>
          </tx>
          <spPr>
            <a:ln>
              <a:prstDash val="solid"/>
            </a:ln>
          </spPr>
          <cat>
            <numRef>
              <f>'Capacity Ablation'!$A$5:$A$7</f>
            </numRef>
          </cat>
          <val>
            <numRef>
              <f>'Capacity Ablation'!$B$5:$B$7</f>
            </numRef>
          </val>
        </ser>
        <ser>
          <idx val="1"/>
          <order val="1"/>
          <tx>
            <strRef>
              <f>'Capacity Ablation'!C4</f>
            </strRef>
          </tx>
          <spPr>
            <a:ln>
              <a:prstDash val="solid"/>
            </a:ln>
          </spPr>
          <cat>
            <numRef>
              <f>'Capacity Ablation'!$A$5:$A$7</f>
            </numRef>
          </cat>
          <val>
            <numRef>
              <f>'Capacity Ablation'!$C$5:$C$7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Recall by Field: Uncorrected vs Bonferroni-Corrected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'Multi-Dimension Compounding'!C4</f>
            </strRef>
          </tx>
          <spPr>
            <a:ln>
              <a:prstDash val="solid"/>
            </a:ln>
          </spPr>
          <cat>
            <numRef>
              <f>'Multi-Dimension Compounding'!$A$5:$A$7</f>
            </numRef>
          </cat>
          <val>
            <numRef>
              <f>'Multi-Dimension Compounding'!$C$5:$C$7</f>
            </numRef>
          </val>
        </ser>
        <ser>
          <idx val="1"/>
          <order val="1"/>
          <tx>
            <strRef>
              <f>'Multi-Dimension Compounding'!D4</f>
            </strRef>
          </tx>
          <spPr>
            <a:ln>
              <a:prstDash val="solid"/>
            </a:ln>
          </spPr>
          <cat>
            <numRef>
              <f>'Multi-Dimension Compounding'!$A$5:$A$7</f>
            </numRef>
          </cat>
          <val>
            <numRef>
              <f>'Multi-Dimension Compounding'!$D$5:$D$7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Recall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Aggregate False-Capture Rate: Compounding vs Correction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'Multi-Dimension Compounding'!B8</f>
            </strRef>
          </tx>
          <spPr>
            <a:ln>
              <a:prstDash val="solid"/>
            </a:ln>
          </spPr>
          <cat>
            <numRef>
              <f>'Multi-Dimension Compounding'!$A$9:$A$12</f>
            </numRef>
          </cat>
          <val>
            <numRef>
              <f>'Multi-Dimension Compounding'!$B$9:$B$12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Clean-Only vs Systematic Calibration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'Printer Prototype (Calibration)'!B4</f>
            </strRef>
          </tx>
          <spPr>
            <a:ln>
              <a:prstDash val="solid"/>
            </a:ln>
          </spPr>
          <cat>
            <numRef>
              <f>'Printer Prototype (Calibration)'!$A$5:$A$7</f>
            </numRef>
          </cat>
          <val>
            <numRef>
              <f>'Printer Prototype (Calibration)'!$B$5:$B$7</f>
            </numRef>
          </val>
        </ser>
        <ser>
          <idx val="1"/>
          <order val="1"/>
          <tx>
            <strRef>
              <f>'Printer Prototype (Calibration)'!C4</f>
            </strRef>
          </tx>
          <spPr>
            <a:ln>
              <a:prstDash val="solid"/>
            </a:ln>
          </spPr>
          <cat>
            <numRef>
              <f>'Printer Prototype (Calibration)'!$A$5:$A$7</f>
            </numRef>
          </cat>
          <val>
            <numRef>
              <f>'Printer Prototype (Calibration)'!$C$5:$C$7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 (0-1 scale)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Mean Error by Solution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'Boundary Solutions Comparison'!B4</f>
            </strRef>
          </tx>
          <spPr>
            <a:ln>
              <a:prstDash val="solid"/>
            </a:ln>
          </spPr>
          <cat>
            <numRef>
              <f>'Boundary Solutions Comparison'!$A$5:$A$9</f>
            </numRef>
          </cat>
          <val>
            <numRef>
              <f>'Boundary Solutions Comparison'!$B$5:$B$9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error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55" customWidth="1" min="3" max="3"/>
    <col width="28" customWidth="1" min="4" max="4"/>
  </cols>
  <sheetData>
    <row r="1">
      <c r="A1" s="1" t="inlineStr">
        <is>
          <t>Profile-Routed MoE -- Performance Data Summary</t>
        </is>
      </c>
      <c r="B1" s="2" t="n"/>
      <c r="C1" s="2" t="n"/>
      <c r="D1" s="2" t="n"/>
    </row>
    <row r="2" ht="30" customHeight="1">
      <c r="A2" s="3" t="inlineStr">
        <is>
          <t>Fresh canonical run, all 6 reproduction scripts. See TECHNICAL.md for full context, formulas, and proofs. Exact figures vary run-to-run for multi-stage pipelines (see TECHNICAL.md section 12) -- qualitative findings are the reproducible claim.</t>
        </is>
      </c>
      <c r="B2" s="2" t="n"/>
      <c r="C2" s="2" t="n"/>
      <c r="D2" s="2" t="n"/>
    </row>
    <row r="4">
      <c r="A4" s="4" t="inlineStr">
        <is>
          <t>Script</t>
        </is>
      </c>
      <c r="B4" s="4" t="inlineStr">
        <is>
          <t>Sheet(s)</t>
        </is>
      </c>
      <c r="C4" s="4" t="inlineStr">
        <is>
          <t>Headline finding</t>
        </is>
      </c>
      <c r="D4" s="4" t="inlineStr">
        <is>
          <t>Reproduces exactly every run?</t>
        </is>
      </c>
    </row>
    <row r="5">
      <c r="A5" s="5" t="inlineStr">
        <is>
          <t>addition_isolation_suite.py</t>
        </is>
      </c>
      <c r="B5" s="5" t="inlineStr">
        <is>
          <t>Swap Isolation, Addition Flips, MSE by Domain, Multi-Seed Stability</t>
        </is>
      </c>
      <c r="C5" s="5" t="inlineStr">
        <is>
          <t>Swap isolation: 0.00% collateral change on untouched domains. Addition: 4 flips found, gating fix restores 3/4.</t>
        </is>
      </c>
      <c r="D5" s="5" t="inlineStr">
        <is>
          <t>No -- pattern reproduces, exact figures vary</t>
        </is>
      </c>
    </row>
    <row r="6">
      <c r="A6" s="5" t="inlineStr">
        <is>
          <t>capacity_ablation.py</t>
        </is>
      </c>
      <c r="B6" s="5" t="inlineStr">
        <is>
          <t>Capacity Ablation</t>
        </is>
      </c>
      <c r="C6" s="5" t="inlineStr">
        <is>
          <t>326x more gate parameters: no improvement on genuinely ambiguous cases (63.6% vs 62.5% accuracy). Bayes-error, not capacity-bound.</t>
        </is>
      </c>
      <c r="D6" s="5" t="inlineStr">
        <is>
          <t>Yes -- exact to the decimal</t>
        </is>
      </c>
    </row>
    <row r="7">
      <c r="A7" s="5" t="inlineStr">
        <is>
          <t>multi_dimension_compounding.py</t>
        </is>
      </c>
      <c r="B7" s="5" t="inlineStr">
        <is>
          <t>Multi-Dimension Compounding</t>
        </is>
      </c>
      <c r="C7" s="5" t="inlineStr">
        <is>
          <t>3 simultaneous domain additions at 1% FPR each compound to 3.00% aggregate; Bonferroni correction restores 1.01%.</t>
        </is>
      </c>
      <c r="D7" s="5" t="inlineStr">
        <is>
          <t>Yes -- compounding % exact; recall figures vary slightly</t>
        </is>
      </c>
    </row>
    <row r="8">
      <c r="A8" s="5" t="inlineStr">
        <is>
          <t>text_validation.py</t>
        </is>
      </c>
      <c r="B8" s="5" t="inlineStr">
        <is>
          <t>Real Text Validation, Printer Prototype</t>
        </is>
      </c>
      <c r="C8" s="5" t="inlineStr">
        <is>
          <t>Addition-flip mechanism replicates on real text (6 flips, concentrated on boundary prompts). Systematic calibration-data generation fixes a degenerate threshold.</t>
        </is>
      </c>
      <c r="D8" s="5" t="inlineStr">
        <is>
          <t>Part 1 varies; Part 2 exact to the decimal</t>
        </is>
      </c>
    </row>
    <row r="9">
      <c r="A9" s="5" t="inlineStr">
        <is>
          <t>boundary_solutions.py</t>
        </is>
      </c>
      <c r="B9" s="5" t="inlineStr">
        <is>
          <t>Boundary Solutions Comparison</t>
        </is>
      </c>
      <c r="C9" s="5" t="inlineStr">
        <is>
          <t>Of 4 mitigations tested, only the gated one-vs-rest fix (D) changes which expert wins top-1; fixes 2 of 3 flips.</t>
        </is>
      </c>
      <c r="D9" s="5" t="inlineStr">
        <is>
          <t>No -- pattern reproduces, exact figures vary</t>
        </is>
      </c>
    </row>
    <row r="10">
      <c r="A10" s="5" t="inlineStr">
        <is>
          <t>build_workbook.py</t>
        </is>
      </c>
      <c r="B10" s="5" t="inlineStr">
        <is>
          <t>(generates this workbook)</t>
        </is>
      </c>
      <c r="C10" s="5" t="inlineStr">
        <is>
          <t>Regenerates performance_data.xlsx from the canonical figures; every derived column is a live Excel formula.</t>
        </is>
      </c>
      <c r="D10" s="5" t="inlineStr">
        <is>
          <t>Yes -- deterministic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Swap Isolation (addition_isolation_suite.py, section_2_swap_isolation)</t>
        </is>
      </c>
      <c r="B1" s="2" t="n"/>
      <c r="C1" s="2" t="n"/>
      <c r="D1" s="2" t="n"/>
    </row>
    <row r="2" ht="30" customHeight="1">
      <c r="A2" s="3" t="inlineStr">
        <is>
          <t>Expert_code is swapped for a deliberately different (undertrained) alternative. Domains not swapped should show ~0% change.</t>
        </is>
      </c>
      <c r="B2" s="2" t="n"/>
      <c r="C2" s="2" t="n"/>
      <c r="D2" s="2" t="n"/>
    </row>
    <row r="4">
      <c r="A4" s="4" t="inlineStr">
        <is>
          <t>Domain</t>
        </is>
      </c>
      <c r="B4" s="4" t="inlineStr">
        <is>
          <t>MSE before</t>
        </is>
      </c>
      <c r="C4" s="4" t="inlineStr">
        <is>
          <t>MSE after</t>
        </is>
      </c>
      <c r="D4" s="4" t="inlineStr">
        <is>
          <t>% change</t>
        </is>
      </c>
    </row>
    <row r="5">
      <c r="A5" s="6" t="inlineStr">
        <is>
          <t>code</t>
        </is>
      </c>
      <c r="B5" s="7" t="n">
        <v>0.19995</v>
      </c>
      <c r="C5" s="7" t="n">
        <v>1.78403</v>
      </c>
      <c r="D5" s="8">
        <f>(C5-B5)/B5</f>
        <v/>
      </c>
    </row>
    <row r="6">
      <c r="A6" s="6" t="inlineStr">
        <is>
          <t>creative</t>
        </is>
      </c>
      <c r="B6" s="7" t="n">
        <v>0.03786</v>
      </c>
      <c r="C6" s="7" t="n">
        <v>0.03786</v>
      </c>
      <c r="D6" s="8">
        <f>(C6-B6)/B6</f>
        <v/>
      </c>
    </row>
    <row r="7">
      <c r="A7" s="6" t="inlineStr">
        <is>
          <t>math</t>
        </is>
      </c>
      <c r="B7" s="7" t="n">
        <v>0.08638999999999999</v>
      </c>
      <c r="C7" s="7" t="n">
        <v>0.08638999999999999</v>
      </c>
      <c r="D7" s="8">
        <f>(C7-B7)/B7</f>
        <v/>
      </c>
    </row>
    <row r="8">
      <c r="A8" s="6" t="inlineStr">
        <is>
          <t>reasoning</t>
        </is>
      </c>
      <c r="B8" s="7" t="n">
        <v>0.01046</v>
      </c>
      <c r="C8" s="7" t="n">
        <v>0.01046</v>
      </c>
      <c r="D8" s="8">
        <f>(C8-B8)/B8</f>
        <v/>
      </c>
    </row>
    <row r="10">
      <c r="A10" s="9" t="inlineStr">
        <is>
          <t>Only the swapped domain (code) changes materially. The other three show exactly 0.00% -- the isolation property.</t>
        </is>
      </c>
    </row>
  </sheetData>
  <mergeCells count="3">
    <mergeCell ref="A1:D1"/>
    <mergeCell ref="A10:D10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24" customWidth="1" min="4" max="4"/>
    <col width="14" customWidth="1" min="5" max="5"/>
  </cols>
  <sheetData>
    <row r="1">
      <c r="A1" s="1" t="inlineStr">
        <is>
          <t>Addition Flips + Gated Fix (addition_isolation_suite.py, section_3_addition_and_gating)</t>
        </is>
      </c>
      <c r="B1" s="2" t="n"/>
      <c r="C1" s="2" t="n"/>
      <c r="D1" s="2" t="n"/>
      <c r="E1" s="2" t="n"/>
    </row>
    <row r="2" ht="30" customHeight="1">
      <c r="A2" s="3" t="inlineStr">
        <is>
          <t>Gate threshold calibrated at the 99th percentile on 8,000 held-out base-domain points. 'Gated' = law-detector score cleared the threshold.</t>
        </is>
      </c>
      <c r="B2" s="2" t="n"/>
      <c r="C2" s="2" t="n"/>
      <c r="D2" s="2" t="n"/>
      <c r="E2" s="2" t="n"/>
    </row>
    <row r="4">
      <c r="A4" s="4" t="inlineStr">
        <is>
          <t>Sample (domain#id)</t>
        </is>
      </c>
      <c r="B4" s="4" t="inlineStr">
        <is>
          <t>Law detector score</t>
        </is>
      </c>
      <c r="C4" s="4" t="inlineStr">
        <is>
          <t>Gated?</t>
        </is>
      </c>
      <c r="D4" s="4" t="inlineStr">
        <is>
          <t>Result after gating</t>
        </is>
      </c>
      <c r="E4" s="4" t="inlineStr">
        <is>
          <t>Fixed?</t>
        </is>
      </c>
    </row>
    <row r="5">
      <c r="A5" s="6" t="inlineStr">
        <is>
          <t>creative#134</t>
        </is>
      </c>
      <c r="B5" s="6" t="n">
        <v>0.701</v>
      </c>
      <c r="C5" s="6" t="inlineStr">
        <is>
          <t>no</t>
        </is>
      </c>
      <c r="D5" s="6" t="inlineStr">
        <is>
          <t>Expert_creative (correct)</t>
        </is>
      </c>
      <c r="E5" s="10" t="inlineStr">
        <is>
          <t>FIXED</t>
        </is>
      </c>
    </row>
    <row r="6">
      <c r="A6" s="6" t="inlineStr">
        <is>
          <t>math#34</t>
        </is>
      </c>
      <c r="B6" s="6" t="n">
        <v>0.64</v>
      </c>
      <c r="C6" s="6" t="inlineStr">
        <is>
          <t>no</t>
        </is>
      </c>
      <c r="D6" s="6" t="inlineStr">
        <is>
          <t>Expert_math (correct)</t>
        </is>
      </c>
      <c r="E6" s="10" t="inlineStr">
        <is>
          <t>FIXED</t>
        </is>
      </c>
    </row>
    <row r="7">
      <c r="A7" s="6" t="inlineStr">
        <is>
          <t>math#36</t>
        </is>
      </c>
      <c r="B7" s="6" t="n">
        <v>0.441</v>
      </c>
      <c r="C7" s="6" t="inlineStr">
        <is>
          <t>no</t>
        </is>
      </c>
      <c r="D7" s="6" t="inlineStr">
        <is>
          <t>Expert_math (correct)</t>
        </is>
      </c>
      <c r="E7" s="10" t="inlineStr">
        <is>
          <t>FIXED</t>
        </is>
      </c>
    </row>
    <row r="8">
      <c r="A8" s="6" t="inlineStr">
        <is>
          <t>math#108</t>
        </is>
      </c>
      <c r="B8" s="6" t="n">
        <v>0.794</v>
      </c>
      <c r="C8" s="6" t="inlineStr">
        <is>
          <t>yes</t>
        </is>
      </c>
      <c r="D8" s="6" t="inlineStr">
        <is>
          <t>Expert_law (incorrect)</t>
        </is>
      </c>
      <c r="E8" s="11" t="inlineStr">
        <is>
          <t>still wrong</t>
        </is>
      </c>
    </row>
    <row r="9">
      <c r="A9" s="12" t="inlineStr">
        <is>
          <t>Fixed</t>
        </is>
      </c>
      <c r="B9" s="6">
        <f>COUNTIF(E5:E8,"FIXED")&amp;"/"&amp;COUNTA(E5:E8)</f>
        <v/>
      </c>
    </row>
    <row r="10">
      <c r="A10" s="12" t="inlineStr">
        <is>
          <t>Genuine law recall at this threshold</t>
        </is>
      </c>
      <c r="B10" s="13" t="n">
        <v>0.887</v>
      </c>
    </row>
    <row r="12">
      <c r="A12" s="9" t="inlineStr">
        <is>
          <t>math#108's score (0.794) clears the calibrated threshold -- an honest, well-calibrated detector genuinely cannot separate it from a real law input without sacrificing recall elsewhere (see TECHNICAL.md 4.5 corollary).</t>
        </is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12" customWidth="1" min="4" max="4"/>
  </cols>
  <sheetData>
    <row r="1">
      <c r="A1" s="1" t="inlineStr">
        <is>
          <t>Aggregate MSE by Domain, Before vs After Addition</t>
        </is>
      </c>
      <c r="B1" s="2" t="n"/>
      <c r="C1" s="2" t="n"/>
      <c r="D1" s="2" t="n"/>
    </row>
    <row r="2" ht="30" customHeight="1">
      <c r="A2" s="3" t="inlineStr">
        <is>
          <t>Frozen v1 (safe) routing vs jointly-retrained v2 (broken) routing, across each domain's full test set. Generated fresh by this script -- no external file needed.</t>
        </is>
      </c>
      <c r="B2" s="2" t="n"/>
      <c r="C2" s="2" t="n"/>
      <c r="D2" s="2" t="n"/>
    </row>
    <row r="4">
      <c r="A4" s="4" t="inlineStr">
        <is>
          <t>Domain</t>
        </is>
      </c>
      <c r="B4" s="4" t="inlineStr">
        <is>
          <t>MSE before (v1, frozen)</t>
        </is>
      </c>
      <c r="C4" s="4" t="inlineStr">
        <is>
          <t>MSE after (v2, jointly-retrained)</t>
        </is>
      </c>
      <c r="D4" s="4" t="inlineStr">
        <is>
          <t>% change</t>
        </is>
      </c>
    </row>
    <row r="5">
      <c r="A5" s="6" t="inlineStr">
        <is>
          <t>code</t>
        </is>
      </c>
      <c r="B5" s="7" t="n">
        <v>0.76979</v>
      </c>
      <c r="C5" s="7" t="n">
        <v>0.76979</v>
      </c>
      <c r="D5" s="8">
        <f>(C5-B5)/B5</f>
        <v/>
      </c>
    </row>
    <row r="6">
      <c r="A6" s="6" t="inlineStr">
        <is>
          <t>creative</t>
        </is>
      </c>
      <c r="B6" s="7" t="n">
        <v>0.03786</v>
      </c>
      <c r="C6" s="7" t="n">
        <v>0.06567000000000001</v>
      </c>
      <c r="D6" s="8">
        <f>(C6-B6)/B6</f>
        <v/>
      </c>
    </row>
    <row r="7">
      <c r="A7" s="6" t="inlineStr">
        <is>
          <t>math</t>
        </is>
      </c>
      <c r="B7" s="7" t="n">
        <v>0.08638999999999999</v>
      </c>
      <c r="C7" s="7" t="n">
        <v>0.26509</v>
      </c>
      <c r="D7" s="8">
        <f>(C7-B7)/B7</f>
        <v/>
      </c>
    </row>
    <row r="8">
      <c r="A8" s="6" t="inlineStr">
        <is>
          <t>reasoning</t>
        </is>
      </c>
      <c r="B8" s="7" t="n">
        <v>0.48072</v>
      </c>
      <c r="C8" s="7" t="n">
        <v>0.48072</v>
      </c>
      <c r="D8" s="8">
        <f>(C8-B8)/B8</f>
        <v/>
      </c>
    </row>
    <row r="10">
      <c r="A10" s="9" t="inlineStr">
        <is>
          <t>Two of four untouched domains show real collateral damage (creative, math); the other two show none in this run -- the failure concentrates on specific poorly-resolved regions, not uniform degradation.</t>
        </is>
      </c>
    </row>
  </sheetData>
  <mergeCells count="3">
    <mergeCell ref="A1:D1"/>
    <mergeCell ref="A10:D10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</cols>
  <sheetData>
    <row r="1">
      <c r="A1" s="1" t="inlineStr">
        <is>
          <t>Flip Stability Across 5 Independent Training Seeds</t>
        </is>
      </c>
      <c r="B1" s="2" t="n"/>
      <c r="C1" s="2" t="n"/>
    </row>
    <row r="2" ht="30" customHeight="1">
      <c r="A2" s="3" t="inlineStr">
        <is>
          <t>Same data distributions, 5 different model-initialization seeds. A stable core recurs regardless of seed; a shifting penumbra does not.</t>
        </is>
      </c>
      <c r="B2" s="2" t="n"/>
      <c r="C2" s="2" t="n"/>
    </row>
    <row r="4">
      <c r="A4" s="4" t="inlineStr">
        <is>
          <t>Flip point (domain#id)</t>
        </is>
      </c>
      <c r="B4" s="4" t="inlineStr">
        <is>
          <t>Seeds it appears in (of 5)</t>
        </is>
      </c>
      <c r="C4" s="4" t="inlineStr">
        <is>
          <t>Category</t>
        </is>
      </c>
    </row>
    <row r="5">
      <c r="A5" s="6" t="inlineStr">
        <is>
          <t>math#108</t>
        </is>
      </c>
      <c r="B5" s="14" t="n">
        <v>5</v>
      </c>
      <c r="C5" s="11" t="inlineStr">
        <is>
          <t>stable core</t>
        </is>
      </c>
    </row>
    <row r="6">
      <c r="A6" s="6" t="inlineStr">
        <is>
          <t>math#34</t>
        </is>
      </c>
      <c r="B6" s="14" t="n">
        <v>5</v>
      </c>
      <c r="C6" s="11" t="inlineStr">
        <is>
          <t>stable core</t>
        </is>
      </c>
    </row>
    <row r="7">
      <c r="A7" s="6" t="inlineStr">
        <is>
          <t>code#115</t>
        </is>
      </c>
      <c r="B7" s="14" t="n">
        <v>5</v>
      </c>
      <c r="C7" s="11" t="inlineStr">
        <is>
          <t>stable core</t>
        </is>
      </c>
    </row>
    <row r="8">
      <c r="A8" s="6" t="inlineStr">
        <is>
          <t>creative#134</t>
        </is>
      </c>
      <c r="B8" s="14" t="n">
        <v>5</v>
      </c>
      <c r="C8" s="11" t="inlineStr">
        <is>
          <t>stable core</t>
        </is>
      </c>
    </row>
    <row r="9">
      <c r="A9" s="6" t="inlineStr">
        <is>
          <t>reasoning#146</t>
        </is>
      </c>
      <c r="B9" s="14" t="n">
        <v>5</v>
      </c>
      <c r="C9" s="11" t="inlineStr">
        <is>
          <t>stable core</t>
        </is>
      </c>
    </row>
    <row r="10">
      <c r="A10" s="6" t="inlineStr">
        <is>
          <t>math#36</t>
        </is>
      </c>
      <c r="B10" s="14" t="n">
        <v>2</v>
      </c>
      <c r="C10" s="15" t="inlineStr">
        <is>
          <t>shifting penumbra</t>
        </is>
      </c>
    </row>
    <row r="11">
      <c r="A11" s="6" t="inlineStr">
        <is>
          <t>reasoning#149</t>
        </is>
      </c>
      <c r="B11" s="14" t="n">
        <v>2</v>
      </c>
      <c r="C11" s="15" t="inlineStr">
        <is>
          <t>shifting penumbra</t>
        </is>
      </c>
    </row>
    <row r="12">
      <c r="A12" s="6" t="inlineStr">
        <is>
          <t>code#82</t>
        </is>
      </c>
      <c r="B12" s="14" t="n">
        <v>2</v>
      </c>
      <c r="C12" s="15" t="inlineStr">
        <is>
          <t>shifting penumbra</t>
        </is>
      </c>
    </row>
    <row r="13">
      <c r="A13" s="6" t="inlineStr">
        <is>
          <t>code#70</t>
        </is>
      </c>
      <c r="B13" s="14" t="n">
        <v>1</v>
      </c>
      <c r="C13" s="15" t="inlineStr">
        <is>
          <t>shifting penumbra</t>
        </is>
      </c>
    </row>
    <row r="15">
      <c r="A15" s="9" t="inlineStr">
        <is>
          <t>5 of 9 unique flip points recur in every single seed -- tied to a specific, consistently poorly-resolved region, not training noise.</t>
        </is>
      </c>
    </row>
  </sheetData>
  <mergeCells count="3">
    <mergeCell ref="A1:C1"/>
    <mergeCell ref="A2:C2"/>
    <mergeCell ref="A15:C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4" customWidth="1" min="3" max="3"/>
  </cols>
  <sheetData>
    <row r="1">
      <c r="A1" s="1" t="inlineStr">
        <is>
          <t>Does More Gate Capacity Resolve Genuinely Ambiguous Cases? (capacity_ablation.py)</t>
        </is>
      </c>
      <c r="B1" s="2" t="n"/>
      <c r="C1" s="2" t="n"/>
    </row>
    <row r="2" ht="30" customHeight="1">
      <c r="A2" s="3" t="inlineStr">
        <is>
          <t>33-parameter gate vs 10,753-parameter gate (326x), identical training data. Reproduces exactly, every run.</t>
        </is>
      </c>
      <c r="B2" s="2" t="n"/>
      <c r="C2" s="2" t="n"/>
    </row>
    <row r="4">
      <c r="A4" s="4" t="inlineStr">
        <is>
          <t>Metric</t>
        </is>
      </c>
      <c r="B4" s="4" t="inlineStr">
        <is>
          <t>Small gate (33 params)</t>
        </is>
      </c>
      <c r="C4" s="4" t="inlineStr">
        <is>
          <t>Large gate (10,753 params)</t>
        </is>
      </c>
    </row>
    <row r="5">
      <c r="A5" s="6" t="inlineStr">
        <is>
          <t>Overall AUC</t>
        </is>
      </c>
      <c r="B5" s="7" t="n">
        <v>0.99604</v>
      </c>
      <c r="C5" s="7" t="n">
        <v>0.99614</v>
      </c>
    </row>
    <row r="6">
      <c r="A6" s="6" t="inlineStr">
        <is>
          <t>Accuracy on ambiguous subset (2.53% of test set)</t>
        </is>
      </c>
      <c r="B6" s="16" t="n">
        <v>0.636</v>
      </c>
      <c r="C6" s="16" t="n">
        <v>0.625</v>
      </c>
    </row>
    <row r="7">
      <c r="A7" s="6" t="inlineStr">
        <is>
          <t>Overall accuracy</t>
        </is>
      </c>
      <c r="B7" s="16" t="n">
        <v>0.9761</v>
      </c>
      <c r="C7" s="16" t="n">
        <v>0.9757</v>
      </c>
    </row>
    <row r="8">
      <c r="A8" s="6" t="inlineStr">
        <is>
          <t>Cases: large fixes small's error</t>
        </is>
      </c>
      <c r="B8" s="6" t="n">
        <v>32</v>
      </c>
    </row>
    <row r="9">
      <c r="A9" s="6" t="inlineStr">
        <is>
          <t>Cases: small fixes large's error</t>
        </is>
      </c>
      <c r="B9" s="6" t="n">
        <v>36</v>
      </c>
    </row>
    <row r="10">
      <c r="A10" s="12" t="inlineStr">
        <is>
          <t>Ratio (near 1.0 = no systematic advantage)</t>
        </is>
      </c>
      <c r="B10" s="17">
        <f>B8/B9</f>
        <v/>
      </c>
    </row>
    <row r="12">
      <c r="A12" s="9" t="inlineStr">
        <is>
          <t>326x more parameters buys no measurable improvement on the hard cases -- the ambiguity is a Bayes-error property of the data, not a capacity bottleneck.</t>
        </is>
      </c>
    </row>
  </sheetData>
  <mergeCells count="3">
    <mergeCell ref="A1:C1"/>
    <mergeCell ref="A2:C2"/>
    <mergeCell ref="A12:C1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0" customWidth="1" min="3" max="3"/>
    <col width="24" customWidth="1" min="4" max="4"/>
  </cols>
  <sheetData>
    <row r="1">
      <c r="A1" s="1" t="inlineStr">
        <is>
          <t>Adding 3 Domains Simultaneously (multi_dimension_compounding.py)</t>
        </is>
      </c>
      <c r="B1" s="2" t="n"/>
      <c r="C1" s="2" t="n"/>
      <c r="D1" s="2" t="n"/>
    </row>
    <row r="2" ht="30" customHeight="1">
      <c r="A2" s="3" t="inlineStr">
        <is>
          <t>Each gate independently calibrated to 1% FPR on old-domain data. Compounding % reproduces exactly every run; recall figures vary slightly.</t>
        </is>
      </c>
      <c r="B2" s="2" t="n"/>
      <c r="C2" s="2" t="n"/>
      <c r="D2" s="2" t="n"/>
    </row>
    <row r="4">
      <c r="A4" s="4" t="inlineStr">
        <is>
          <t>Field</t>
        </is>
      </c>
      <c r="B4" s="4" t="inlineStr">
        <is>
          <t>Individual FPR (uncorrected)</t>
        </is>
      </c>
      <c r="C4" s="4" t="inlineStr">
        <is>
          <t>Recall (uncorrected)</t>
        </is>
      </c>
      <c r="D4" s="4" t="inlineStr">
        <is>
          <t>Recall (Bonferroni-corrected)</t>
        </is>
      </c>
    </row>
    <row r="5">
      <c r="A5" s="6" t="inlineStr">
        <is>
          <t>finance</t>
        </is>
      </c>
      <c r="B5" s="13" t="n">
        <v>0.01</v>
      </c>
      <c r="C5" s="13" t="n">
        <v>0.7</v>
      </c>
      <c r="D5" s="13" t="n">
        <v>0.507</v>
      </c>
    </row>
    <row r="6">
      <c r="A6" s="6" t="inlineStr">
        <is>
          <t>law</t>
        </is>
      </c>
      <c r="B6" s="13" t="n">
        <v>0.01</v>
      </c>
      <c r="C6" s="13" t="n">
        <v>0.88</v>
      </c>
      <c r="D6" s="13" t="n">
        <v>0.8</v>
      </c>
    </row>
    <row r="7">
      <c r="A7" s="6" t="inlineStr">
        <is>
          <t>medicine</t>
        </is>
      </c>
      <c r="B7" s="13" t="n">
        <v>0.01</v>
      </c>
      <c r="C7" s="13" t="n">
        <v>0.613</v>
      </c>
      <c r="D7" s="13" t="n">
        <v>0.447</v>
      </c>
    </row>
    <row r="9">
      <c r="A9" s="12" t="inlineStr">
        <is>
          <t>Aggregate FPR, uncorrected (&gt;=1 gate fires)</t>
        </is>
      </c>
      <c r="B9" s="18" t="n">
        <v>0.03</v>
      </c>
    </row>
    <row r="10">
      <c r="A10" s="12" t="inlineStr">
        <is>
          <t>Naive independence prediction (1-(1-0.01)^3)</t>
        </is>
      </c>
      <c r="B10" s="18">
        <f>1-(1-0.01)^3</f>
        <v/>
      </c>
    </row>
    <row r="11">
      <c r="A11" s="12" t="inlineStr">
        <is>
          <t>Aggregate FPR, Bonferroni-corrected</t>
        </is>
      </c>
      <c r="B11" s="18" t="n">
        <v>0.0101</v>
      </c>
    </row>
    <row r="12">
      <c r="A12" s="12" t="inlineStr">
        <is>
          <t>Target aggregate FPR</t>
        </is>
      </c>
      <c r="B12" s="18" t="n">
        <v>0.01</v>
      </c>
    </row>
    <row r="14">
      <c r="A14" s="9" t="inlineStr">
        <is>
          <t>3 independent gates at 1% each compound to 3.00% aggregate (matches the naive independence prediction almost exactly) -- a multiple-comparisons problem, not a calibration bug. Bonferroni correction restores the target but costs real recall.</t>
        </is>
      </c>
    </row>
  </sheetData>
  <mergeCells count="3">
    <mergeCell ref="A1:D1"/>
    <mergeCell ref="A14:D14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  <col width="55" customWidth="1" min="4" max="4"/>
  </cols>
  <sheetData>
    <row r="1">
      <c r="A1" s="1" t="inlineStr">
        <is>
          <t>Does the Flip Mechanism Replicate on Real Text? (text_validation.py, part 1)</t>
        </is>
      </c>
      <c r="B1" s="2" t="n"/>
      <c r="C1" s="2" t="n"/>
      <c r="D1" s="2" t="n"/>
    </row>
    <row r="2" ht="30" customHeight="1">
      <c r="A2" s="3" t="inlineStr">
        <is>
          <t>TF-IDF+SVD embeddings (lexical, not full semantic -- no network access to a trained embedding model). 131 base-domain test prompts, 14 deliberately cross-domain.</t>
        </is>
      </c>
      <c r="B2" s="2" t="n"/>
      <c r="C2" s="2" t="n"/>
      <c r="D2" s="2" t="n"/>
    </row>
    <row r="4">
      <c r="A4" s="4" t="inlineStr">
        <is>
          <t>True domain</t>
        </is>
      </c>
      <c r="B4" s="4" t="inlineStr">
        <is>
          <t>Base profiler picked</t>
        </is>
      </c>
      <c r="C4" s="4" t="inlineStr">
        <is>
          <t>Joint (broken) profiler picked</t>
        </is>
      </c>
      <c r="D4" s="4" t="inlineStr">
        <is>
          <t>Prompt (truncated)</t>
        </is>
      </c>
    </row>
    <row r="5">
      <c r="A5" s="6" t="inlineStr">
        <is>
          <t>code</t>
        </is>
      </c>
      <c r="B5" s="6" t="inlineStr">
        <is>
          <t>math</t>
        </is>
      </c>
      <c r="C5" s="6" t="inlineStr">
        <is>
          <t>code</t>
        </is>
      </c>
      <c r="D5" s="19" t="inlineStr">
        <is>
          <t>draft terms of service clauses governing API usage limits for this app</t>
        </is>
      </c>
    </row>
    <row r="6">
      <c r="A6" s="6" t="inlineStr">
        <is>
          <t>code</t>
        </is>
      </c>
      <c r="B6" s="6" t="inlineStr">
        <is>
          <t>math</t>
        </is>
      </c>
      <c r="C6" s="6" t="inlineStr">
        <is>
          <t>code</t>
        </is>
      </c>
      <c r="D6" s="19" t="inlineStr">
        <is>
          <t>assess whether this code snippet infringes on a competitor's registered...</t>
        </is>
      </c>
    </row>
    <row r="7">
      <c r="A7" s="6" t="inlineStr">
        <is>
          <t>math</t>
        </is>
      </c>
      <c r="B7" s="6" t="inlineStr">
        <is>
          <t>reasoning</t>
        </is>
      </c>
      <c r="C7" s="6" t="inlineStr">
        <is>
          <t>law</t>
        </is>
      </c>
      <c r="D7" s="19" t="inlineStr">
        <is>
          <t>calculate the statute of limitations deadline given the filing date and...</t>
        </is>
      </c>
    </row>
    <row r="8">
      <c r="A8" s="6" t="inlineStr">
        <is>
          <t>math</t>
        </is>
      </c>
      <c r="B8" s="6" t="inlineStr">
        <is>
          <t>creative</t>
        </is>
      </c>
      <c r="C8" s="6" t="inlineStr">
        <is>
          <t>law</t>
        </is>
      </c>
      <c r="D8" s="19" t="inlineStr">
        <is>
          <t>derive the amortization schedule required under the loan agreement's...</t>
        </is>
      </c>
    </row>
    <row r="9">
      <c r="A9" s="6" t="inlineStr">
        <is>
          <t>creative</t>
        </is>
      </c>
      <c r="B9" s="6" t="inlineStr">
        <is>
          <t>creative</t>
        </is>
      </c>
      <c r="C9" s="6" t="inlineStr">
        <is>
          <t>law</t>
        </is>
      </c>
      <c r="D9" s="19" t="inlineStr">
        <is>
          <t>compose a courtroom drama scene where the plaintiff's testimony...</t>
        </is>
      </c>
    </row>
    <row r="10">
      <c r="A10" s="6" t="inlineStr">
        <is>
          <t>reasoning</t>
        </is>
      </c>
      <c r="B10" s="6" t="inlineStr">
        <is>
          <t>creative</t>
        </is>
      </c>
      <c r="C10" s="6" t="inlineStr">
        <is>
          <t>law</t>
        </is>
      </c>
      <c r="D10" s="19" t="inlineStr">
        <is>
          <t>assess if the contract's ambiguous clause creates a valid basis for...</t>
        </is>
      </c>
    </row>
    <row r="12">
      <c r="A12" s="9" t="inlineStr">
        <is>
          <t>6 flips, 100% on prompts that are genuinely cross-domain by construction; 0% on the 117 ordinary prompts. Every flip listed here involves law-adjacent vocabulary in a code/math/creative/reasoning prompt.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34" customWidth="1" min="3" max="3"/>
  </cols>
  <sheetData>
    <row r="1">
      <c r="A1" s="1" t="inlineStr">
        <is>
          <t>Systematic vs Hand-Picked Boundary Calibration (text_validation.py, part 2)</t>
        </is>
      </c>
      <c r="B1" s="2" t="n"/>
      <c r="C1" s="2" t="n"/>
    </row>
    <row r="2" ht="30" customHeight="1">
      <c r="A2" s="3" t="inlineStr">
        <is>
          <t>Reproduces exactly, every run. Compares calibrating a gate threshold on clean-only data vs clean+systematically-generated boundary data.</t>
        </is>
      </c>
      <c r="B2" s="2" t="n"/>
      <c r="C2" s="2" t="n"/>
    </row>
    <row r="4">
      <c r="A4" s="4" t="inlineStr">
        <is>
          <t>Metric</t>
        </is>
      </c>
      <c r="B4" s="4" t="inlineStr">
        <is>
          <t>Clean-only calibration</t>
        </is>
      </c>
      <c r="C4" s="4" t="inlineStr">
        <is>
          <t>Printed (clean + systematic boundary)</t>
        </is>
      </c>
    </row>
    <row r="5">
      <c r="A5" s="6" t="inlineStr">
        <is>
          <t>Calibrated threshold</t>
        </is>
      </c>
      <c r="B5" s="20" t="n">
        <v>0.0031</v>
      </c>
      <c r="C5" s="20" t="n">
        <v>0.9943</v>
      </c>
    </row>
    <row r="6">
      <c r="A6" s="6" t="inlineStr">
        <is>
          <t>Genuine law recall</t>
        </is>
      </c>
      <c r="B6" s="21" t="n">
        <v>1</v>
      </c>
      <c r="C6" s="21" t="n">
        <v>0.92</v>
      </c>
    </row>
    <row r="7">
      <c r="A7" s="6" t="inlineStr">
        <is>
          <t>False-capture on fresh unambiguous data</t>
        </is>
      </c>
      <c r="B7" s="21" t="n">
        <v>0.016</v>
      </c>
      <c r="C7" s="21" t="n">
        <v>0</v>
      </c>
    </row>
    <row r="9">
      <c r="A9" s="9" t="inlineStr">
        <is>
          <t>300 hand-written calibration sentences produced a degenerate threshold (fires on almost everything). ~600 systematically-generated boundary examples fixed it, at a real cost: 8 points of law recall.</t>
        </is>
      </c>
    </row>
  </sheetData>
  <mergeCells count="3">
    <mergeCell ref="A1:C1"/>
    <mergeCell ref="A9:C9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30" customWidth="1" min="5" max="5"/>
  </cols>
  <sheetData>
    <row r="1">
      <c r="A1" s="1" t="inlineStr">
        <is>
          <t>Four Mitigations, Head-to-Head (boundary_solutions.py)</t>
        </is>
      </c>
      <c r="B1" s="2" t="n"/>
      <c r="C1" s="2" t="n"/>
      <c r="D1" s="2" t="n"/>
      <c r="E1" s="2" t="n"/>
    </row>
    <row r="2" ht="30" customHeight="1">
      <c r="A2" s="3" t="inlineStr">
        <is>
          <t>A/B/C are the original mitigations; D (gated one-vs-rest) is new, added this review pass. Same 3 boundary samples, same harness.</t>
        </is>
      </c>
      <c r="B2" s="2" t="n"/>
      <c r="C2" s="2" t="n"/>
      <c r="D2" s="2" t="n"/>
      <c r="E2" s="2" t="n"/>
    </row>
    <row r="4">
      <c r="A4" s="4" t="inlineStr">
        <is>
          <t>Solution</t>
        </is>
      </c>
      <c r="B4" s="4" t="inlineStr">
        <is>
          <t>Mean error</t>
        </is>
      </c>
      <c r="C4" s="4" t="inlineStr">
        <is>
          <t>% vs baseline</t>
        </is>
      </c>
      <c r="D4" s="4" t="inlineStr">
        <is>
          <t>Samples improved (of 3)</t>
        </is>
      </c>
      <c r="E4" s="4" t="inlineStr">
        <is>
          <t>Changes WHICH expert wins top-1?</t>
        </is>
      </c>
    </row>
    <row r="5">
      <c r="A5" s="6" t="inlineStr">
        <is>
          <t>Baseline (broken)</t>
        </is>
      </c>
      <c r="B5" s="20" t="n">
        <v>2.1466069276</v>
      </c>
      <c r="C5" s="6" t="inlineStr">
        <is>
          <t>--</t>
        </is>
      </c>
      <c r="D5" s="6" t="inlineStr">
        <is>
          <t>--</t>
        </is>
      </c>
      <c r="E5" s="15" t="inlineStr">
        <is>
          <t>--</t>
        </is>
      </c>
    </row>
    <row r="6">
      <c r="A6" s="6" t="inlineStr">
        <is>
          <t>A: Local Confidence</t>
        </is>
      </c>
      <c r="B6" s="20" t="n">
        <v>2.1466069244</v>
      </c>
      <c r="C6" s="22">
        <f>(B6-B5)/B5</f>
        <v/>
      </c>
      <c r="D6" s="6" t="n">
        <v>2</v>
      </c>
      <c r="E6" s="15" t="inlineStr">
        <is>
          <t>No</t>
        </is>
      </c>
    </row>
    <row r="7">
      <c r="A7" s="6" t="inlineStr">
        <is>
          <t>B: Adaptive tau</t>
        </is>
      </c>
      <c r="B7" s="20" t="n">
        <v>1.4536902334</v>
      </c>
      <c r="C7" s="22">
        <f>(B7-B5)/B5</f>
        <v/>
      </c>
      <c r="D7" s="6" t="n">
        <v>3</v>
      </c>
      <c r="E7" s="15" t="inlineStr">
        <is>
          <t>No</t>
        </is>
      </c>
    </row>
    <row r="8">
      <c r="A8" s="6" t="inlineStr">
        <is>
          <t>C: Variance Penalty</t>
        </is>
      </c>
      <c r="B8" s="20" t="n">
        <v>2.1466069292</v>
      </c>
      <c r="C8" s="22">
        <f>(B8-B5)/B5</f>
        <v/>
      </c>
      <c r="D8" s="6" t="n">
        <v>1</v>
      </c>
      <c r="E8" s="15" t="inlineStr">
        <is>
          <t>No</t>
        </is>
      </c>
    </row>
    <row r="9">
      <c r="A9" s="6" t="inlineStr">
        <is>
          <t>D: Gated One-vs-Rest</t>
        </is>
      </c>
      <c r="B9" s="20" t="n">
        <v>1.3046079307</v>
      </c>
      <c r="C9" s="22">
        <f>(B9-B5)/B5</f>
        <v/>
      </c>
      <c r="D9" s="6" t="n">
        <v>2</v>
      </c>
      <c r="E9" s="10" t="inlineStr">
        <is>
          <t>Yes -- fixes 2 of 3</t>
        </is>
      </c>
    </row>
    <row r="11">
      <c r="A11" s="9" t="inlineStr">
        <is>
          <t>Only D operates before the broken profile is computed (frozen base + independently-calibrated gate), so it's the only one that can re-select the correct expert rather than just reweight around the wrong one.</t>
        </is>
      </c>
    </row>
  </sheetData>
  <mergeCells count="3">
    <mergeCell ref="A2:E2"/>
    <mergeCell ref="A11:E11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10" customWidth="1" min="4" max="4"/>
    <col width="14" customWidth="1" min="5" max="5"/>
    <col width="12" customWidth="1" min="6" max="6"/>
    <col width="18" customWidth="1" min="7" max="7"/>
    <col width="14" customWidth="1" min="8" max="8"/>
    <col width="14" customWidth="1" min="9" max="9"/>
  </cols>
  <sheetData>
    <row r="1">
      <c r="A1" s="1" t="inlineStr">
        <is>
          <t>Draft Dataset Design for Training a New Profiler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3" t="inlineStr">
        <is>
          <t>Design, not measured data -- a template showing how a calibration dataset should be structured, based on findings elsewhere in this workbook: boundary examples are load-bearing (Printer Prototype sheet), calibration must be a held-out split separate from training (TECHNICAL.md 4.3), and per-domain worst-case calibration is safer than pooled aggregate when domains will later be composed (TECHNICAL.md section 9).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>
      <c r="A4" t="inlineStr">
        <is>
          <t>SCHEMA</t>
        </is>
      </c>
    </row>
    <row r="6">
      <c r="A6" s="23" t="n"/>
    </row>
    <row r="7">
      <c r="A7" s="4" t="inlineStr">
        <is>
          <t>Field</t>
        </is>
      </c>
      <c r="B7" s="4" t="inlineStr">
        <is>
          <t>Type</t>
        </is>
      </c>
      <c r="C7" s="4" t="inlineStr">
        <is>
          <t>Purpose</t>
        </is>
      </c>
    </row>
    <row r="8">
      <c r="A8" s="6" t="inlineStr">
        <is>
          <t>example_id</t>
        </is>
      </c>
      <c r="B8" s="6" t="inlineStr">
        <is>
          <t>text</t>
        </is>
      </c>
      <c r="C8" s="6" t="inlineStr">
        <is>
          <t>Unique identifier, stable across dataset versions</t>
        </is>
      </c>
    </row>
    <row r="9">
      <c r="A9" s="6" t="inlineStr">
        <is>
          <t>domain_label</t>
        </is>
      </c>
      <c r="B9" s="6" t="inlineStr">
        <is>
          <t>categorical</t>
        </is>
      </c>
      <c r="C9" s="6" t="inlineStr">
        <is>
          <t>Ground-truth domain this example belongs to -- the profiler/gate's training target</t>
        </is>
      </c>
    </row>
    <row r="10">
      <c r="A10" s="6" t="inlineStr">
        <is>
          <t>text</t>
        </is>
      </c>
      <c r="B10" s="6" t="inlineStr">
        <is>
          <t>text</t>
        </is>
      </c>
      <c r="C10" s="6" t="inlineStr">
        <is>
          <t>The actual prompt/example content</t>
        </is>
      </c>
    </row>
    <row r="11">
      <c r="A11" s="6" t="inlineStr">
        <is>
          <t>is_boundary_example</t>
        </is>
      </c>
      <c r="B11" s="6" t="inlineStr">
        <is>
          <t>boolean</t>
        </is>
      </c>
      <c r="C11" s="6" t="inlineStr">
        <is>
          <t>TRUE if deliberately cross-domain (the Printer Prototype sheet shows why this matters: a calibration set with none of these produces a degenerate, meaningless threshold)</t>
        </is>
      </c>
    </row>
    <row r="12">
      <c r="A12" s="6" t="inlineStr">
        <is>
          <t>cross_domain_hint</t>
        </is>
      </c>
      <c r="B12" s="6" t="inlineStr">
        <is>
          <t>text</t>
        </is>
      </c>
      <c r="C12" s="6" t="inlineStr">
        <is>
          <t>If boundary, which other domain(s) it also resembles -- for human review, not fed to the classifier directly</t>
        </is>
      </c>
    </row>
    <row r="13">
      <c r="A13" s="6" t="inlineStr">
        <is>
          <t>split</t>
        </is>
      </c>
      <c r="B13" s="6" t="inlineStr">
        <is>
          <t>categorical</t>
        </is>
      </c>
      <c r="C13" s="6" t="inlineStr">
        <is>
          <t>train / calibration / test -- calibration MUST be held out separately from train (TECHNICAL.md 4.3); reusing train data for calibration is what produced the earlier degenerate-threshold failure</t>
        </is>
      </c>
    </row>
    <row r="14">
      <c r="A14" s="6" t="inlineStr">
        <is>
          <t>source</t>
        </is>
      </c>
      <c r="B14" s="6" t="inlineStr">
        <is>
          <t>categorical</t>
        </is>
      </c>
      <c r="C14" s="6" t="inlineStr">
        <is>
          <t>hand_written / systematic_generation / real_user_log / benchmark_derived -- track provenance so calibration quality can be audited later</t>
        </is>
      </c>
    </row>
    <row r="15">
      <c r="A15" s="6" t="inlineStr">
        <is>
          <t>added_for_version</t>
        </is>
      </c>
      <c r="B15" s="6" t="inlineStr">
        <is>
          <t>text</t>
        </is>
      </c>
      <c r="C15" s="6" t="inlineStr">
        <is>
          <t>Which profiler/dimension version introduced this example -- supports the modular composition design (TECHNICAL.md section 9)</t>
        </is>
      </c>
    </row>
    <row r="16">
      <c r="A16" s="6" t="inlineStr">
        <is>
          <t>contributor</t>
        </is>
      </c>
      <c r="B16" s="6" t="inlineStr">
        <is>
          <t>text</t>
        </is>
      </c>
      <c r="C16" s="6" t="inlineStr">
        <is>
          <t>Who added it -- relevant if this dataset is eventually crowdsourced (e.g. via an Openfield-style marketplace) rather than built solo</t>
        </is>
      </c>
    </row>
    <row r="18">
      <c r="A18" s="23" t="inlineStr">
        <is>
          <t>SAMPLE ENTRIES (draft)</t>
        </is>
      </c>
    </row>
    <row r="19">
      <c r="A19" s="4" t="inlineStr">
        <is>
          <t>example_id</t>
        </is>
      </c>
      <c r="B19" s="4" t="inlineStr">
        <is>
          <t>domain_label</t>
        </is>
      </c>
      <c r="C19" s="4" t="inlineStr">
        <is>
          <t>text</t>
        </is>
      </c>
      <c r="D19" s="4" t="inlineStr">
        <is>
          <t>is_boundary_example</t>
        </is>
      </c>
      <c r="E19" s="4" t="inlineStr">
        <is>
          <t>cross_domain_hint</t>
        </is>
      </c>
      <c r="F19" s="4" t="inlineStr">
        <is>
          <t>split</t>
        </is>
      </c>
      <c r="G19" s="4" t="inlineStr">
        <is>
          <t>source</t>
        </is>
      </c>
      <c r="H19" s="4" t="inlineStr">
        <is>
          <t>added_for_version</t>
        </is>
      </c>
      <c r="I19" s="4" t="inlineStr">
        <is>
          <t>contributor</t>
        </is>
      </c>
    </row>
    <row r="20">
      <c r="A20" s="6" t="inlineStr">
        <is>
          <t>ex_0001</t>
        </is>
      </c>
      <c r="B20" s="6" t="inlineStr">
        <is>
          <t>code</t>
        </is>
      </c>
      <c r="C20" s="5" t="inlineStr">
        <is>
          <t>the recursive method has a bug where the recursion never terminates</t>
        </is>
      </c>
      <c r="D20" s="6" t="b">
        <v>0</v>
      </c>
      <c r="E20" s="6" t="inlineStr"/>
      <c r="F20" s="6" t="inlineStr">
        <is>
          <t>train</t>
        </is>
      </c>
      <c r="G20" s="6" t="inlineStr">
        <is>
          <t>hand_written</t>
        </is>
      </c>
      <c r="H20" s="6" t="inlineStr">
        <is>
          <t>v1</t>
        </is>
      </c>
      <c r="I20" s="6" t="inlineStr">
        <is>
          <t>washington</t>
        </is>
      </c>
    </row>
    <row r="21">
      <c r="A21" s="6" t="inlineStr">
        <is>
          <t>ex_0002</t>
        </is>
      </c>
      <c r="B21" s="6" t="inlineStr">
        <is>
          <t>code</t>
        </is>
      </c>
      <c r="C21" s="5" t="inlineStr">
        <is>
          <t>explain how a hash map resolves collisions using open addressing</t>
        </is>
      </c>
      <c r="D21" s="6" t="b">
        <v>0</v>
      </c>
      <c r="E21" s="6" t="inlineStr"/>
      <c r="F21" s="6" t="inlineStr">
        <is>
          <t>train</t>
        </is>
      </c>
      <c r="G21" s="6" t="inlineStr">
        <is>
          <t>hand_written</t>
        </is>
      </c>
      <c r="H21" s="6" t="inlineStr">
        <is>
          <t>v1</t>
        </is>
      </c>
      <c r="I21" s="6" t="inlineStr">
        <is>
          <t>washington</t>
        </is>
      </c>
    </row>
    <row r="22">
      <c r="A22" s="6" t="inlineStr">
        <is>
          <t>ex_0003</t>
        </is>
      </c>
      <c r="B22" s="6" t="inlineStr">
        <is>
          <t>math</t>
        </is>
      </c>
      <c r="C22" s="5" t="inlineStr">
        <is>
          <t>prove that the series diverges using the integral test</t>
        </is>
      </c>
      <c r="D22" s="6" t="b">
        <v>0</v>
      </c>
      <c r="E22" s="6" t="inlineStr"/>
      <c r="F22" s="6" t="inlineStr">
        <is>
          <t>train</t>
        </is>
      </c>
      <c r="G22" s="6" t="inlineStr">
        <is>
          <t>hand_written</t>
        </is>
      </c>
      <c r="H22" s="6" t="inlineStr">
        <is>
          <t>v1</t>
        </is>
      </c>
      <c r="I22" s="6" t="inlineStr">
        <is>
          <t>washington</t>
        </is>
      </c>
    </row>
    <row r="23">
      <c r="A23" s="6" t="inlineStr">
        <is>
          <t>ex_0004</t>
        </is>
      </c>
      <c r="B23" s="6" t="inlineStr">
        <is>
          <t>math</t>
        </is>
      </c>
      <c r="C23" s="5" t="inlineStr">
        <is>
          <t>calculate the eigenvalues of this 3x3 matrix</t>
        </is>
      </c>
      <c r="D23" s="6" t="b">
        <v>0</v>
      </c>
      <c r="E23" s="6" t="inlineStr"/>
      <c r="F23" s="6" t="inlineStr">
        <is>
          <t>calibration</t>
        </is>
      </c>
      <c r="G23" s="6" t="inlineStr">
        <is>
          <t>hand_written</t>
        </is>
      </c>
      <c r="H23" s="6" t="inlineStr">
        <is>
          <t>v1</t>
        </is>
      </c>
      <c r="I23" s="6" t="inlineStr">
        <is>
          <t>washington</t>
        </is>
      </c>
    </row>
    <row r="24">
      <c r="A24" s="6" t="inlineStr">
        <is>
          <t>ex_0005</t>
        </is>
      </c>
      <c r="B24" s="6" t="inlineStr">
        <is>
          <t>creative</t>
        </is>
      </c>
      <c r="C24" s="5" t="inlineStr">
        <is>
          <t>write a scene where the protagonist realizes the narrator is unreliable</t>
        </is>
      </c>
      <c r="D24" s="6" t="b">
        <v>0</v>
      </c>
      <c r="E24" s="6" t="inlineStr"/>
      <c r="F24" s="6" t="inlineStr">
        <is>
          <t>train</t>
        </is>
      </c>
      <c r="G24" s="6" t="inlineStr">
        <is>
          <t>hand_written</t>
        </is>
      </c>
      <c r="H24" s="6" t="inlineStr">
        <is>
          <t>v1</t>
        </is>
      </c>
      <c r="I24" s="6" t="inlineStr">
        <is>
          <t>washington</t>
        </is>
      </c>
    </row>
    <row r="25">
      <c r="A25" s="6" t="inlineStr">
        <is>
          <t>ex_0006</t>
        </is>
      </c>
      <c r="B25" s="6" t="inlineStr">
        <is>
          <t>reasoning</t>
        </is>
      </c>
      <c r="C25" s="5" t="inlineStr">
        <is>
          <t>identify the logical fallacy in this argument about correlation and causation</t>
        </is>
      </c>
      <c r="D25" s="6" t="b">
        <v>0</v>
      </c>
      <c r="E25" s="6" t="inlineStr"/>
      <c r="F25" s="6" t="inlineStr">
        <is>
          <t>train</t>
        </is>
      </c>
      <c r="G25" s="6" t="inlineStr">
        <is>
          <t>hand_written</t>
        </is>
      </c>
      <c r="H25" s="6" t="inlineStr">
        <is>
          <t>v1</t>
        </is>
      </c>
      <c r="I25" s="6" t="inlineStr">
        <is>
          <t>washington</t>
        </is>
      </c>
    </row>
    <row r="26">
      <c r="A26" s="6" t="inlineStr">
        <is>
          <t>ex_0007</t>
        </is>
      </c>
      <c r="B26" s="6" t="inlineStr">
        <is>
          <t>law</t>
        </is>
      </c>
      <c r="C26" s="5" t="inlineStr">
        <is>
          <t>explain what makes a contract clause unconscionable under common law</t>
        </is>
      </c>
      <c r="D26" s="6" t="b">
        <v>0</v>
      </c>
      <c r="E26" s="6" t="inlineStr"/>
      <c r="F26" s="6" t="inlineStr">
        <is>
          <t>train</t>
        </is>
      </c>
      <c r="G26" s="6" t="inlineStr">
        <is>
          <t>hand_written</t>
        </is>
      </c>
      <c r="H26" s="6" t="inlineStr">
        <is>
          <t>v1</t>
        </is>
      </c>
      <c r="I26" s="6" t="inlineStr">
        <is>
          <t>washington</t>
        </is>
      </c>
    </row>
    <row r="27">
      <c r="A27" s="6" t="inlineStr">
        <is>
          <t>ex_0008</t>
        </is>
      </c>
      <c r="B27" s="6" t="inlineStr">
        <is>
          <t>law</t>
        </is>
      </c>
      <c r="C27" s="5" t="inlineStr">
        <is>
          <t>the plaintiff's claim was dismissed because the statute of limitations had expired</t>
        </is>
      </c>
      <c r="D27" s="6" t="b">
        <v>0</v>
      </c>
      <c r="E27" s="6" t="inlineStr"/>
      <c r="F27" s="6" t="inlineStr">
        <is>
          <t>calibration</t>
        </is>
      </c>
      <c r="G27" s="6" t="inlineStr">
        <is>
          <t>hand_written</t>
        </is>
      </c>
      <c r="H27" s="6" t="inlineStr">
        <is>
          <t>v1</t>
        </is>
      </c>
      <c r="I27" s="6" t="inlineStr">
        <is>
          <t>washington</t>
        </is>
      </c>
    </row>
    <row r="28">
      <c r="A28" s="6" t="inlineStr">
        <is>
          <t>ex_0009</t>
        </is>
      </c>
      <c r="B28" s="6" t="inlineStr">
        <is>
          <t>code</t>
        </is>
      </c>
      <c r="C28" s="5" t="inlineStr">
        <is>
          <t>review the open source license agreement attached to this repository for compliance issues</t>
        </is>
      </c>
      <c r="D28" s="11" t="b">
        <v>1</v>
      </c>
      <c r="E28" s="6" t="inlineStr">
        <is>
          <t>law</t>
        </is>
      </c>
      <c r="F28" s="6" t="inlineStr">
        <is>
          <t>test</t>
        </is>
      </c>
      <c r="G28" s="6" t="inlineStr">
        <is>
          <t>systematic_generation</t>
        </is>
      </c>
      <c r="H28" s="6" t="inlineStr">
        <is>
          <t>v1</t>
        </is>
      </c>
      <c r="I28" s="6" t="inlineStr">
        <is>
          <t>auto</t>
        </is>
      </c>
    </row>
    <row r="29">
      <c r="A29" s="6" t="inlineStr">
        <is>
          <t>ex_0010</t>
        </is>
      </c>
      <c r="B29" s="6" t="inlineStr">
        <is>
          <t>math</t>
        </is>
      </c>
      <c r="C29" s="5" t="inlineStr">
        <is>
          <t>calculate the statute of limitations deadline given the filing date and tolling rules</t>
        </is>
      </c>
      <c r="D29" s="11" t="b">
        <v>1</v>
      </c>
      <c r="E29" s="6" t="inlineStr">
        <is>
          <t>law</t>
        </is>
      </c>
      <c r="F29" s="6" t="inlineStr">
        <is>
          <t>test</t>
        </is>
      </c>
      <c r="G29" s="6" t="inlineStr">
        <is>
          <t>systematic_generation</t>
        </is>
      </c>
      <c r="H29" s="6" t="inlineStr">
        <is>
          <t>v1</t>
        </is>
      </c>
      <c r="I29" s="6" t="inlineStr">
        <is>
          <t>auto</t>
        </is>
      </c>
    </row>
    <row r="30">
      <c r="A30" s="6" t="inlineStr">
        <is>
          <t>ex_0011</t>
        </is>
      </c>
      <c r="B30" s="6" t="inlineStr">
        <is>
          <t>creative</t>
        </is>
      </c>
      <c r="C30" s="5" t="inlineStr">
        <is>
          <t>write a closing argument in the voice of a defense attorney pleading for leniency</t>
        </is>
      </c>
      <c r="D30" s="11" t="b">
        <v>1</v>
      </c>
      <c r="E30" s="6" t="inlineStr">
        <is>
          <t>law</t>
        </is>
      </c>
      <c r="F30" s="6" t="inlineStr">
        <is>
          <t>test</t>
        </is>
      </c>
      <c r="G30" s="6" t="inlineStr">
        <is>
          <t>systematic_generation</t>
        </is>
      </c>
      <c r="H30" s="6" t="inlineStr">
        <is>
          <t>v1</t>
        </is>
      </c>
      <c r="I30" s="6" t="inlineStr">
        <is>
          <t>auto</t>
        </is>
      </c>
    </row>
    <row r="31">
      <c r="A31" s="6" t="inlineStr">
        <is>
          <t>ex_0012</t>
        </is>
      </c>
      <c r="B31" s="6" t="inlineStr">
        <is>
          <t>reasoning</t>
        </is>
      </c>
      <c r="C31" s="5" t="inlineStr">
        <is>
          <t>assess if the contract's ambiguous clause creates a valid basis for rescission</t>
        </is>
      </c>
      <c r="D31" s="11" t="b">
        <v>1</v>
      </c>
      <c r="E31" s="6" t="inlineStr">
        <is>
          <t>law</t>
        </is>
      </c>
      <c r="F31" s="6" t="inlineStr">
        <is>
          <t>test</t>
        </is>
      </c>
      <c r="G31" s="6" t="inlineStr">
        <is>
          <t>systematic_generation</t>
        </is>
      </c>
      <c r="H31" s="6" t="inlineStr">
        <is>
          <t>v1</t>
        </is>
      </c>
      <c r="I31" s="6" t="inlineStr">
        <is>
          <t>auto</t>
        </is>
      </c>
    </row>
    <row r="32">
      <c r="A32" s="6" t="inlineStr">
        <is>
          <t>ex_0013</t>
        </is>
      </c>
      <c r="B32" s="6" t="inlineStr">
        <is>
          <t>medicine</t>
        </is>
      </c>
      <c r="C32" s="5" t="inlineStr">
        <is>
          <t>explain the mechanism of action for ACE inhibitors in treating hypertension</t>
        </is>
      </c>
      <c r="D32" s="6" t="b">
        <v>0</v>
      </c>
      <c r="E32" s="6" t="inlineStr"/>
      <c r="F32" s="6" t="inlineStr">
        <is>
          <t>train</t>
        </is>
      </c>
      <c r="G32" s="6" t="inlineStr">
        <is>
          <t>hand_written</t>
        </is>
      </c>
      <c r="H32" s="6" t="inlineStr">
        <is>
          <t>v2</t>
        </is>
      </c>
      <c r="I32" s="6" t="inlineStr">
        <is>
          <t>contributor_a</t>
        </is>
      </c>
    </row>
    <row r="33">
      <c r="A33" s="6" t="inlineStr">
        <is>
          <t>ex_0014</t>
        </is>
      </c>
      <c r="B33" s="6" t="inlineStr">
        <is>
          <t>medicine</t>
        </is>
      </c>
      <c r="C33" s="5" t="inlineStr">
        <is>
          <t>differentiate between type 1 and type 2 diabetes presentation</t>
        </is>
      </c>
      <c r="D33" s="6" t="b">
        <v>0</v>
      </c>
      <c r="E33" s="6" t="inlineStr"/>
      <c r="F33" s="6" t="inlineStr">
        <is>
          <t>calibration</t>
        </is>
      </c>
      <c r="G33" s="6" t="inlineStr">
        <is>
          <t>hand_written</t>
        </is>
      </c>
      <c r="H33" s="6" t="inlineStr">
        <is>
          <t>v2</t>
        </is>
      </c>
      <c r="I33" s="6" t="inlineStr">
        <is>
          <t>contributor_a</t>
        </is>
      </c>
    </row>
    <row r="34">
      <c r="A34" s="6" t="inlineStr">
        <is>
          <t>ex_0015</t>
        </is>
      </c>
      <c r="B34" s="6" t="inlineStr">
        <is>
          <t>medicine</t>
        </is>
      </c>
      <c r="C34" s="5" t="inlineStr">
        <is>
          <t>assess whether this AI diagnostic recommendation carries legal liability for the prescribing physician</t>
        </is>
      </c>
      <c r="D34" s="11" t="b">
        <v>1</v>
      </c>
      <c r="E34" s="6" t="inlineStr">
        <is>
          <t>law</t>
        </is>
      </c>
      <c r="F34" s="6" t="inlineStr">
        <is>
          <t>test</t>
        </is>
      </c>
      <c r="G34" s="6" t="inlineStr">
        <is>
          <t>systematic_generation</t>
        </is>
      </c>
      <c r="H34" s="6" t="inlineStr">
        <is>
          <t>v2</t>
        </is>
      </c>
      <c r="I34" s="6" t="inlineStr">
        <is>
          <t>auto</t>
        </is>
      </c>
    </row>
    <row r="35">
      <c r="A35" s="6" t="inlineStr">
        <is>
          <t>ex_0016</t>
        </is>
      </c>
      <c r="B35" s="6" t="inlineStr">
        <is>
          <t>medicine</t>
        </is>
      </c>
      <c r="C35" s="5" t="inlineStr">
        <is>
          <t>a patient presents with persistent cough and unexplained weight loss -- outline a differential</t>
        </is>
      </c>
      <c r="D35" s="11" t="b">
        <v>1</v>
      </c>
      <c r="E35" s="6" t="inlineStr">
        <is>
          <t>reasoning</t>
        </is>
      </c>
      <c r="F35" s="6" t="inlineStr">
        <is>
          <t>test</t>
        </is>
      </c>
      <c r="G35" s="6" t="inlineStr">
        <is>
          <t>hand_written</t>
        </is>
      </c>
      <c r="H35" s="6" t="inlineStr">
        <is>
          <t>v2</t>
        </is>
      </c>
      <c r="I35" s="6" t="inlineStr">
        <is>
          <t>contributor_a</t>
        </is>
      </c>
    </row>
    <row r="36">
      <c r="A36" s="6" t="inlineStr">
        <is>
          <t>ex_0017</t>
        </is>
      </c>
      <c r="B36" s="6" t="inlineStr">
        <is>
          <t>finance</t>
        </is>
      </c>
      <c r="C36" s="5" t="inlineStr">
        <is>
          <t>calculate the net present value of this cash flow series at a 7% discount rate</t>
        </is>
      </c>
      <c r="D36" s="6" t="b">
        <v>0</v>
      </c>
      <c r="E36" s="6" t="inlineStr"/>
      <c r="F36" s="6" t="inlineStr">
        <is>
          <t>train</t>
        </is>
      </c>
      <c r="G36" s="6" t="inlineStr">
        <is>
          <t>hand_written</t>
        </is>
      </c>
      <c r="H36" s="6" t="inlineStr">
        <is>
          <t>v2</t>
        </is>
      </c>
      <c r="I36" s="6" t="inlineStr">
        <is>
          <t>contributor_b</t>
        </is>
      </c>
    </row>
    <row r="37">
      <c r="A37" s="6" t="inlineStr">
        <is>
          <t>ex_0018</t>
        </is>
      </c>
      <c r="B37" s="6" t="inlineStr">
        <is>
          <t>finance</t>
        </is>
      </c>
      <c r="C37" s="5" t="inlineStr">
        <is>
          <t>explain the difference between a call option and a put option</t>
        </is>
      </c>
      <c r="D37" s="6" t="b">
        <v>0</v>
      </c>
      <c r="E37" s="6" t="inlineStr"/>
      <c r="F37" s="6" t="inlineStr">
        <is>
          <t>calibration</t>
        </is>
      </c>
      <c r="G37" s="6" t="inlineStr">
        <is>
          <t>hand_written</t>
        </is>
      </c>
      <c r="H37" s="6" t="inlineStr">
        <is>
          <t>v2</t>
        </is>
      </c>
      <c r="I37" s="6" t="inlineStr">
        <is>
          <t>contributor_b</t>
        </is>
      </c>
    </row>
    <row r="38">
      <c r="A38" s="6" t="inlineStr">
        <is>
          <t>ex_0019</t>
        </is>
      </c>
      <c r="B38" s="6" t="inlineStr">
        <is>
          <t>finance</t>
        </is>
      </c>
      <c r="C38" s="5" t="inlineStr">
        <is>
          <t>derive the amortization schedule required under the loan agreement's payment terms</t>
        </is>
      </c>
      <c r="D38" s="11" t="b">
        <v>1</v>
      </c>
      <c r="E38" s="6" t="inlineStr">
        <is>
          <t>law, math</t>
        </is>
      </c>
      <c r="F38" s="6" t="inlineStr">
        <is>
          <t>test</t>
        </is>
      </c>
      <c r="G38" s="6" t="inlineStr">
        <is>
          <t>systematic_generation</t>
        </is>
      </c>
      <c r="H38" s="6" t="inlineStr">
        <is>
          <t>v2</t>
        </is>
      </c>
      <c r="I38" s="6" t="inlineStr">
        <is>
          <t>auto</t>
        </is>
      </c>
    </row>
    <row r="39">
      <c r="A39" s="6" t="inlineStr">
        <is>
          <t>ex_0020</t>
        </is>
      </c>
      <c r="B39" s="6" t="inlineStr">
        <is>
          <t>finance</t>
        </is>
      </c>
      <c r="C39" s="5" t="inlineStr">
        <is>
          <t>prove that the bond pricing formula converges as maturity approaches zero</t>
        </is>
      </c>
      <c r="D39" s="11" t="b">
        <v>1</v>
      </c>
      <c r="E39" s="6" t="inlineStr">
        <is>
          <t>math</t>
        </is>
      </c>
      <c r="F39" s="6" t="inlineStr">
        <is>
          <t>test</t>
        </is>
      </c>
      <c r="G39" s="6" t="inlineStr">
        <is>
          <t>systematic_generation</t>
        </is>
      </c>
      <c r="H39" s="6" t="inlineStr">
        <is>
          <t>v2</t>
        </is>
      </c>
      <c r="I39" s="6" t="inlineStr">
        <is>
          <t>auto</t>
        </is>
      </c>
    </row>
    <row r="42">
      <c r="A42" s="23" t="inlineStr">
        <is>
          <t>SIZING GUIDANCE (derived from measured findings, not guesses)</t>
        </is>
      </c>
    </row>
    <row r="43">
      <c r="A43" s="24" t="inlineStr">
        <is>
          <t>Examples in this draft, by domain</t>
        </is>
      </c>
      <c r="B43" s="5">
        <f>COUNTIF(B20:B39,"code")+COUNTIF(B20:B39,"math")+COUNTIF(B20:B39,"creative")+COUNTIF(B20:B39,"reasoning")+COUNTIF(B20:B39,"law")+COUNTIF(B20:B39,"medicine")+COUNTIF(B20:B39,"finance")</f>
        <v/>
      </c>
    </row>
    <row r="44">
      <c r="A44" s="24" t="inlineStr">
        <is>
          <t>Boundary examples in this draft</t>
        </is>
      </c>
      <c r="B44" s="5">
        <f>COUNTIF(D20:D39,TRUE)</f>
        <v/>
      </c>
    </row>
    <row r="45">
      <c r="A45" s="24" t="inlineStr">
        <is>
          <t>Boundary ratio in this draft</t>
        </is>
      </c>
      <c r="B45" s="25">
        <f>B44/B43</f>
        <v/>
      </c>
    </row>
    <row r="46">
      <c r="A46" s="24" t="inlineStr">
        <is>
          <t>Recommended minimum calibration points (per domain, to avoid a degenerate threshold)</t>
        </is>
      </c>
      <c r="B46" s="5" t="inlineStr">
        <is>
          <t>8000 -- see Printer Prototype / Multi-Dimension Compounding sheets: this project's own tests used this scale to get a stable threshold</t>
        </is>
      </c>
    </row>
    <row r="47">
      <c r="A47" s="24" t="inlineStr">
        <is>
          <t>Recommended boundary-example share of calibration set</t>
        </is>
      </c>
      <c r="B47" s="5" t="inlineStr">
        <is>
          <t>~33% -- the Printer Prototype fix used ~600 boundary examples against ~1200 clean (600/1800); a clean-only set of the same total size produced a degenerate threshold</t>
        </is>
      </c>
    </row>
    <row r="48">
      <c r="A48" s="24" t="inlineStr">
        <is>
          <t>When adding M domains simultaneously</t>
        </is>
      </c>
      <c r="B48" s="5" t="inlineStr">
        <is>
          <t>Budget calibration size per TECHNICAL.md section 7's Bonferroni correction -- per-domain false-positive tolerance must shrink as M grows, or aggregate risk compounds silently</t>
        </is>
      </c>
    </row>
    <row r="49">
      <c r="A49" s="24" t="inlineStr">
        <is>
          <t>Calibration split discipline</t>
        </is>
      </c>
      <c r="B49" s="5" t="inlineStr">
        <is>
          <t>Never reuse train-split examples for calibration -- this project's original text-validation failure (degenerate 0.01 threshold) came directly from calibrating on the training set instead of a genuinely held-out one</t>
        </is>
      </c>
    </row>
    <row r="51">
      <c r="A51" s="9" t="inlineStr">
        <is>
          <t>This is a design draft (20 illustrative rows), not a production dataset. The schema and sizing guidance are what should scale -- the row count should not be read as a target.</t>
        </is>
      </c>
    </row>
  </sheetData>
  <mergeCells count="10">
    <mergeCell ref="B44:I44"/>
    <mergeCell ref="A2:I2"/>
    <mergeCell ref="B48:I48"/>
    <mergeCell ref="A51:I51"/>
    <mergeCell ref="B47:I47"/>
    <mergeCell ref="A1:I1"/>
    <mergeCell ref="B45:I45"/>
    <mergeCell ref="B46:I46"/>
    <mergeCell ref="B49:I49"/>
    <mergeCell ref="B43:I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2026-08-04T19:00:16Z</dcterms:created>
  <dcterms:modified xsi:type="dcterms:W3CDTF">2026-08-04T19:00:16Z</dcterms:modified>
</cp:coreProperties>
</file>