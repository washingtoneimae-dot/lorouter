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wap Isolation" sheetId="2" state="visible" r:id="rId4"/>
    <sheet name="Addition Flips &amp; Gating Fix" sheetId="3" state="visible" r:id="rId5"/>
    <sheet name="MSE by Domain (Addition Impact)" sheetId="4" state="visible" r:id="rId6"/>
    <sheet name="Multi-Seed Stability" sheetId="5" state="visible" r:id="rId7"/>
    <sheet name="Capacity Ablation" sheetId="6" state="visible" r:id="rId8"/>
    <sheet name="Multi-Dimension Compounding" sheetId="7" state="visible" r:id="rId9"/>
    <sheet name="Real Text Validation" sheetId="8" state="visible" r:id="rId10"/>
    <sheet name="Printer Prototype (Calibration)" sheetId="9" state="visible" r:id="rId11"/>
    <sheet name="Boundary Solutions Comparison" sheetId="10" state="visible" r:id="rId12"/>
    <sheet name="New Profiler Dataset Desig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<sst xmlns="http://schemas.openxmlformats.org/spreadsheetml/2006/main" count="388" uniqueCount="229">
  <si>
    <t xml:space="preserve">Profile-Routed MoE -- Performance Data Summary</t>
  </si>
  <si>
    <t xml:space="preserve">Fresh canonical run, all 5 reproduction scripts. See TECHNICAL.md for full context, formulas, and proofs. Exact figures vary run-to-run for multi-stage pipelines (see TECHNICAL.md section 12) -- qualitative findings are the reproducible claim.</t>
  </si>
  <si>
    <t xml:space="preserve">Script</t>
  </si>
  <si>
    <t xml:space="preserve">Sheet(s)</t>
  </si>
  <si>
    <t xml:space="preserve">Headline finding</t>
  </si>
  <si>
    <t xml:space="preserve">Reproduces exactly every run?</t>
  </si>
  <si>
    <t xml:space="preserve">addition_isolation_suite.py</t>
  </si>
  <si>
    <t xml:space="preserve">Swap Isolation, Addition Flips, MSE by Domain, Multi-Seed Stability</t>
  </si>
  <si>
    <t xml:space="preserve">Swap isolation: 0.00% collateral change on untouched domains. Addition: 4 flips found, gating fix restores 3/4.</t>
  </si>
  <si>
    <t xml:space="preserve">No -- pattern reproduces, exact figures vary</t>
  </si>
  <si>
    <t xml:space="preserve">capacity_ablation.py</t>
  </si>
  <si>
    <t xml:space="preserve">Capacity Ablation</t>
  </si>
  <si>
    <t xml:space="preserve">326x more gate parameters: no improvement on genuinely ambiguous cases (63.6% vs 62.5% accuracy). Bayes-error, not capacity-bound.</t>
  </si>
  <si>
    <t xml:space="preserve">Yes -- exact to the decimal</t>
  </si>
  <si>
    <t xml:space="preserve">multi_dimension_compounding.py</t>
  </si>
  <si>
    <t xml:space="preserve">Multi-Dimension Compounding</t>
  </si>
  <si>
    <t xml:space="preserve">3 simultaneous domain additions at 1% FPR each compound to 3.00% aggregate; Bonferroni correction restores 1.01%.</t>
  </si>
  <si>
    <t xml:space="preserve">Yes -- compounding % exact; recall figures vary slightly</t>
  </si>
  <si>
    <t xml:space="preserve">text_validation.py</t>
  </si>
  <si>
    <t xml:space="preserve">Real Text Validation, Printer Prototype</t>
  </si>
  <si>
    <t xml:space="preserve">Addition-flip mechanism replicates on real text (6 flips, concentrated on boundary prompts). Systematic calibration-data generation fixes a degenerate threshold.</t>
  </si>
  <si>
    <t xml:space="preserve">Part 1 varies; Part 2 exact to the decimal</t>
  </si>
  <si>
    <t xml:space="preserve">boundary_solutions.py</t>
  </si>
  <si>
    <t xml:space="preserve">Boundary Solutions Comparison</t>
  </si>
  <si>
    <t xml:space="preserve">Of 4 mitigations tested, only the gated one-vs-rest fix (D) changes which expert wins top-1; fixes 2 of 3 flips.</t>
  </si>
  <si>
    <t xml:space="preserve">Swap Isolation (addition_isolation_suite.py, section_2_swap_isolation)</t>
  </si>
  <si>
    <t xml:space="preserve">Expert_code is swapped for a deliberately different (undertrained) alternative. Domains not swapped should show ~0% change.</t>
  </si>
  <si>
    <t xml:space="preserve">Domain</t>
  </si>
  <si>
    <t xml:space="preserve">MSE before</t>
  </si>
  <si>
    <t xml:space="preserve">MSE after</t>
  </si>
  <si>
    <t xml:space="preserve">% change</t>
  </si>
  <si>
    <t xml:space="preserve">code</t>
  </si>
  <si>
    <t xml:space="preserve">creative</t>
  </si>
  <si>
    <t xml:space="preserve">math</t>
  </si>
  <si>
    <t xml:space="preserve">reasoning</t>
  </si>
  <si>
    <t xml:space="preserve">Only the swapped domain (code) changes materially. The other three show exactly 0.00% -- the isolation property.</t>
  </si>
  <si>
    <t xml:space="preserve">Addition Flips + Gated Fix (addition_isolation_suite.py, section_3_addition_and_gating)</t>
  </si>
  <si>
    <t xml:space="preserve">Gate threshold calibrated at the 99th percentile on 8,000 held-out base-domain points. 'Gated' = law-detector score cleared the threshold.</t>
  </si>
  <si>
    <t xml:space="preserve">Sample (domain#id)</t>
  </si>
  <si>
    <t xml:space="preserve">Law detector score</t>
  </si>
  <si>
    <t xml:space="preserve">Gated?</t>
  </si>
  <si>
    <t xml:space="preserve">Result after gating</t>
  </si>
  <si>
    <t xml:space="preserve">Fixed?</t>
  </si>
  <si>
    <t xml:space="preserve">creative#134</t>
  </si>
  <si>
    <t xml:space="preserve">no</t>
  </si>
  <si>
    <t xml:space="preserve">Expert_creative (correct)</t>
  </si>
  <si>
    <t xml:space="preserve">FIXED</t>
  </si>
  <si>
    <t xml:space="preserve">math#34</t>
  </si>
  <si>
    <t xml:space="preserve">Expert_math (correct)</t>
  </si>
  <si>
    <t xml:space="preserve">math#36</t>
  </si>
  <si>
    <t xml:space="preserve">math#108</t>
  </si>
  <si>
    <t xml:space="preserve">yes</t>
  </si>
  <si>
    <t xml:space="preserve">Expert_law (incorrect)</t>
  </si>
  <si>
    <t xml:space="preserve">still wrong</t>
  </si>
  <si>
    <t xml:space="preserve">Fixed</t>
  </si>
  <si>
    <t xml:space="preserve">Genuine law recall at this threshold</t>
  </si>
  <si>
    <t xml:space="preserve">math#108's score (0.794) clears the calibrated threshold -- an honest, well-calibrated detector genuinely cannot separate it from a real law input without sacrificing recall elsewhere (see TECHNICAL.md 4.5 corollary).</t>
  </si>
  <si>
    <t xml:space="preserve">Aggregate MSE by Domain, Before vs After Addition</t>
  </si>
  <si>
    <t xml:space="preserve">Frozen v1 (safe) routing vs jointly-retrained v2 (broken) routing, across each domain's full test set. Generated fresh by this script -- no external file needed.</t>
  </si>
  <si>
    <t xml:space="preserve">MSE before (v1, frozen)</t>
  </si>
  <si>
    <t xml:space="preserve">MSE after (v2, jointly-retrained)</t>
  </si>
  <si>
    <t xml:space="preserve">Two of four untouched domains show real collateral damage (creative, math); the other two show none in this run -- the failure concentrates on specific poorly-resolved regions, not uniform degradation.</t>
  </si>
  <si>
    <t xml:space="preserve">Flip Stability Across 5 Independent Training Seeds</t>
  </si>
  <si>
    <t xml:space="preserve">Same data distributions, 5 different model-initialization seeds. A stable core recurs regardless of seed; a shifting penumbra does not.</t>
  </si>
  <si>
    <t xml:space="preserve">Flip point (domain#id)</t>
  </si>
  <si>
    <t xml:space="preserve">Seeds it appears in (of 5)</t>
  </si>
  <si>
    <t xml:space="preserve">Category</t>
  </si>
  <si>
    <t xml:space="preserve">stable core</t>
  </si>
  <si>
    <t xml:space="preserve">code#115</t>
  </si>
  <si>
    <t xml:space="preserve">reasoning#146</t>
  </si>
  <si>
    <t xml:space="preserve">shifting penumbra</t>
  </si>
  <si>
    <t xml:space="preserve">reasoning#149</t>
  </si>
  <si>
    <t xml:space="preserve">code#82</t>
  </si>
  <si>
    <t xml:space="preserve">code#70</t>
  </si>
  <si>
    <t xml:space="preserve">5 of 9 unique flip points recur in every single seed -- tied to a specific, consistently poorly-resolved region, not training noise.</t>
  </si>
  <si>
    <t xml:space="preserve">Does More Gate Capacity Resolve Genuinely Ambiguous Cases? (capacity_ablation.py)</t>
  </si>
  <si>
    <t xml:space="preserve">33-parameter gate vs 10,753-parameter gate (326x), identical training data. Reproduces exactly, every run.</t>
  </si>
  <si>
    <t xml:space="preserve">Metric</t>
  </si>
  <si>
    <t xml:space="preserve">Small gate (33 params)</t>
  </si>
  <si>
    <t xml:space="preserve">Large gate (10,753 params)</t>
  </si>
  <si>
    <t xml:space="preserve">Overall AUC</t>
  </si>
  <si>
    <t xml:space="preserve">Accuracy on ambiguous subset (2.53% of test set)</t>
  </si>
  <si>
    <t xml:space="preserve">Overall accuracy</t>
  </si>
  <si>
    <t xml:space="preserve">Cases: large fixes small's error</t>
  </si>
  <si>
    <t xml:space="preserve">Cases: small fixes large's error</t>
  </si>
  <si>
    <t xml:space="preserve">Ratio (near 1.0 = no systematic advantage)</t>
  </si>
  <si>
    <t xml:space="preserve">326x more parameters buys no measurable improvement on the hard cases -- the ambiguity is a Bayes-error property of the data, not a capacity bottleneck.</t>
  </si>
  <si>
    <t xml:space="preserve">Adding 3 Domains Simultaneously (multi_dimension_compounding.py)</t>
  </si>
  <si>
    <t xml:space="preserve">Each gate independently calibrated to 1% FPR on old-domain data. Compounding % reproduces exactly every run; recall figures vary slightly.</t>
  </si>
  <si>
    <t xml:space="preserve">Field</t>
  </si>
  <si>
    <t xml:space="preserve">Individual FPR (uncorrected)</t>
  </si>
  <si>
    <t xml:space="preserve">Recall (uncorrected)</t>
  </si>
  <si>
    <t xml:space="preserve">Recall (Bonferroni-corrected)</t>
  </si>
  <si>
    <t xml:space="preserve">finance</t>
  </si>
  <si>
    <t xml:space="preserve">law</t>
  </si>
  <si>
    <t xml:space="preserve">medicine</t>
  </si>
  <si>
    <t xml:space="preserve">Aggregate FPR, uncorrected (&gt;=1 gate fires)</t>
  </si>
  <si>
    <t xml:space="preserve">Naive independence prediction (1-(1-0.01)^3)</t>
  </si>
  <si>
    <t xml:space="preserve">Aggregate FPR, Bonferroni-corrected</t>
  </si>
  <si>
    <t xml:space="preserve">Target aggregate FPR</t>
  </si>
  <si>
    <t xml:space="preserve">3 independent gates at 1% each compound to 3.00% aggregate (matches the naive independence prediction almost exactly) -- a multiple-comparisons problem, not a calibration bug. Bonferroni correction restores the target but costs real recall.</t>
  </si>
  <si>
    <t xml:space="preserve">Does the Flip Mechanism Replicate on Real Text? (text_validation.py, part 1)</t>
  </si>
  <si>
    <t xml:space="preserve">TF-IDF+SVD embeddings (lexical, not full semantic -- no network access to a trained embedding model). 131 base-domain test prompts, 14 deliberately cross-domain.</t>
  </si>
  <si>
    <t xml:space="preserve">True domain</t>
  </si>
  <si>
    <t xml:space="preserve">Base profiler picked</t>
  </si>
  <si>
    <t xml:space="preserve">Joint (broken) profiler picked</t>
  </si>
  <si>
    <t xml:space="preserve">Prompt (truncated)</t>
  </si>
  <si>
    <t xml:space="preserve">draft terms of service clauses governing API usage limits for this app</t>
  </si>
  <si>
    <t xml:space="preserve">assess whether this code snippet infringes on a competitor's registered...</t>
  </si>
  <si>
    <t xml:space="preserve">calculate the statute of limitations deadline given the filing date and...</t>
  </si>
  <si>
    <t xml:space="preserve">derive the amortization schedule required under the loan agreement's...</t>
  </si>
  <si>
    <t xml:space="preserve">compose a courtroom drama scene where the plaintiff's testimony...</t>
  </si>
  <si>
    <t xml:space="preserve">assess if the contract's ambiguous clause creates a valid basis for...</t>
  </si>
  <si>
    <t xml:space="preserve">6 flips, 100% on prompts that are genuinely cross-domain by construction; 0% on the 117 ordinary prompts. Every flip listed here involves law-adjacent vocabulary in a code/math/creative/reasoning prompt.</t>
  </si>
  <si>
    <t xml:space="preserve">Systematic vs Hand-Picked Boundary Calibration (text_validation.py, part 2)</t>
  </si>
  <si>
    <t xml:space="preserve">Reproduces exactly, every run. Compares calibrating a gate threshold on clean-only data vs clean+systematically-generated boundary data.</t>
  </si>
  <si>
    <t xml:space="preserve">Clean-only calibration</t>
  </si>
  <si>
    <t xml:space="preserve">Printed (clean + systematic boundary)</t>
  </si>
  <si>
    <t xml:space="preserve">Calibrated threshold</t>
  </si>
  <si>
    <t xml:space="preserve">Genuine law recall</t>
  </si>
  <si>
    <t xml:space="preserve">False-capture on fresh unambiguous data</t>
  </si>
  <si>
    <t xml:space="preserve">300 hand-written calibration sentences produced a degenerate threshold (fires on almost everything). ~600 systematically-generated boundary examples fixed it, at a real cost: 8 points of law recall.</t>
  </si>
  <si>
    <t xml:space="preserve">Four Mitigations, Head-to-Head (boundary_solutions.py)</t>
  </si>
  <si>
    <t xml:space="preserve">A/B/C are the original mitigations; D (gated one-vs-rest) is new, added this review pass. Same 3 boundary samples, same harness.</t>
  </si>
  <si>
    <t xml:space="preserve">Solution</t>
  </si>
  <si>
    <t xml:space="preserve">Mean error</t>
  </si>
  <si>
    <t xml:space="preserve">% vs baseline</t>
  </si>
  <si>
    <t xml:space="preserve">Samples improved (of 3)</t>
  </si>
  <si>
    <t xml:space="preserve">Changes WHICH expert wins top-1?</t>
  </si>
  <si>
    <t xml:space="preserve">Baseline (broken)</t>
  </si>
  <si>
    <t xml:space="preserve">--</t>
  </si>
  <si>
    <t xml:space="preserve">A: Local Confidence</t>
  </si>
  <si>
    <t xml:space="preserve">No</t>
  </si>
  <si>
    <t xml:space="preserve">B: Adaptive tau</t>
  </si>
  <si>
    <t xml:space="preserve">C: Variance Penalty</t>
  </si>
  <si>
    <t xml:space="preserve">D: Gated One-vs-Rest</t>
  </si>
  <si>
    <t xml:space="preserve">Yes -- fixes 2 of 3</t>
  </si>
  <si>
    <t xml:space="preserve">Only D operates before the broken profile is computed (frozen base + independently-calibrated gate), so it's the only one that can re-select the correct expert rather than just reweight around the wrong one.</t>
  </si>
  <si>
    <t xml:space="preserve">Draft Dataset Design for Training a New Profiler</t>
  </si>
  <si>
    <t xml:space="preserve">Design, not measured data -- a template showing how a calibration dataset should be structured, based on findings elsewhere in this workbook: boundary examples are load-bearing (Printer Prototype sheet), calibration must be a held-out split separate from training (TECHNICAL.md 4.3), and per-domain worst-case calibration is safer than pooled aggregate when domains will later be composed (TECHNICAL.md section 9).</t>
  </si>
  <si>
    <t xml:space="preserve">SCHEMA</t>
  </si>
  <si>
    <t xml:space="preserve">Type</t>
  </si>
  <si>
    <t xml:space="preserve">Purpose</t>
  </si>
  <si>
    <t xml:space="preserve">example_id</t>
  </si>
  <si>
    <t xml:space="preserve">text</t>
  </si>
  <si>
    <t xml:space="preserve">Unique identifier, stable across dataset versions</t>
  </si>
  <si>
    <t xml:space="preserve">domain_label</t>
  </si>
  <si>
    <t xml:space="preserve">categorical</t>
  </si>
  <si>
    <t xml:space="preserve">Ground-truth domain this example belongs to -- the profiler/gate's training target</t>
  </si>
  <si>
    <t xml:space="preserve">The actual prompt/example content</t>
  </si>
  <si>
    <t xml:space="preserve">is_boundary_example</t>
  </si>
  <si>
    <t xml:space="preserve">boolean</t>
  </si>
  <si>
    <t xml:space="preserve">TRUE if deliberately cross-domain (the Printer Prototype sheet shows why this matters: a calibration set with none of these produces a degenerate, meaningless threshold)</t>
  </si>
  <si>
    <t xml:space="preserve">cross_domain_hint</t>
  </si>
  <si>
    <t xml:space="preserve">If boundary, which other domain(s) it also resembles -- for human review, not fed to the classifier directly</t>
  </si>
  <si>
    <t xml:space="preserve">split</t>
  </si>
  <si>
    <t xml:space="preserve">train / calibration / test -- calibration MUST be held out separately from train (TECHNICAL.md 4.3); reusing train data for calibration is what produced the earlier degenerate-threshold failure</t>
  </si>
  <si>
    <t xml:space="preserve">source</t>
  </si>
  <si>
    <t xml:space="preserve">hand_written / systematic_generation / real_user_log / benchmark_derived -- track provenance so calibration quality can be audited later</t>
  </si>
  <si>
    <t xml:space="preserve">added_for_version</t>
  </si>
  <si>
    <t xml:space="preserve">Which profiler/dimension version introduced this example -- supports the modular composition design (TECHNICAL.md section 9)</t>
  </si>
  <si>
    <t xml:space="preserve">contributor</t>
  </si>
  <si>
    <t xml:space="preserve">Who added it -- relevant if this dataset is eventually crowdsourced (e.g. via an Openfield-style marketplace) rather than built solo</t>
  </si>
  <si>
    <t xml:space="preserve">SAMPLE ENTRIES (draft)</t>
  </si>
  <si>
    <t xml:space="preserve">ex_0001</t>
  </si>
  <si>
    <t xml:space="preserve">the recursive method has a bug where the recursion never terminates</t>
  </si>
  <si>
    <t xml:space="preserve">train</t>
  </si>
  <si>
    <t xml:space="preserve">hand_written</t>
  </si>
  <si>
    <t xml:space="preserve">v1</t>
  </si>
  <si>
    <t xml:space="preserve">washington</t>
  </si>
  <si>
    <t xml:space="preserve">ex_0002</t>
  </si>
  <si>
    <t xml:space="preserve">explain how a hash map resolves collisions using open addressing</t>
  </si>
  <si>
    <t xml:space="preserve">ex_0003</t>
  </si>
  <si>
    <t xml:space="preserve">prove that the series diverges using the integral test</t>
  </si>
  <si>
    <t xml:space="preserve">ex_0004</t>
  </si>
  <si>
    <t xml:space="preserve">calculate the eigenvalues of this 3x3 matrix</t>
  </si>
  <si>
    <t xml:space="preserve">calibration</t>
  </si>
  <si>
    <t xml:space="preserve">ex_0005</t>
  </si>
  <si>
    <t xml:space="preserve">write a scene where the protagonist realizes the narrator is unreliable</t>
  </si>
  <si>
    <t xml:space="preserve">ex_0006</t>
  </si>
  <si>
    <t xml:space="preserve">identify the logical fallacy in this argument about correlation and causation</t>
  </si>
  <si>
    <t xml:space="preserve">ex_0007</t>
  </si>
  <si>
    <t xml:space="preserve">explain what makes a contract clause unconscionable under common law</t>
  </si>
  <si>
    <t xml:space="preserve">ex_0008</t>
  </si>
  <si>
    <t xml:space="preserve">the plaintiff's claim was dismissed because the statute of limitations had expired</t>
  </si>
  <si>
    <t xml:space="preserve">ex_0009</t>
  </si>
  <si>
    <t xml:space="preserve">review the open source license agreement attached to this repository for compliance issues</t>
  </si>
  <si>
    <t xml:space="preserve">test</t>
  </si>
  <si>
    <t xml:space="preserve">systematic_generation</t>
  </si>
  <si>
    <t xml:space="preserve">auto</t>
  </si>
  <si>
    <t xml:space="preserve">ex_0010</t>
  </si>
  <si>
    <t xml:space="preserve">calculate the statute of limitations deadline given the filing date and tolling rules</t>
  </si>
  <si>
    <t xml:space="preserve">ex_0011</t>
  </si>
  <si>
    <t xml:space="preserve">write a closing argument in the voice of a defense attorney pleading for leniency</t>
  </si>
  <si>
    <t xml:space="preserve">ex_0012</t>
  </si>
  <si>
    <t xml:space="preserve">assess if the contract's ambiguous clause creates a valid basis for rescission</t>
  </si>
  <si>
    <t xml:space="preserve">ex_0013</t>
  </si>
  <si>
    <t xml:space="preserve">explain the mechanism of action for ACE inhibitors in treating hypertension</t>
  </si>
  <si>
    <t xml:space="preserve">v2</t>
  </si>
  <si>
    <t xml:space="preserve">contributor_a</t>
  </si>
  <si>
    <t xml:space="preserve">ex_0014</t>
  </si>
  <si>
    <t xml:space="preserve">differentiate between type 1 and type 2 diabetes presentation</t>
  </si>
  <si>
    <t xml:space="preserve">ex_0015</t>
  </si>
  <si>
    <t xml:space="preserve">assess whether this AI diagnostic recommendation carries legal liability for the prescribing physician</t>
  </si>
  <si>
    <t xml:space="preserve">ex_0016</t>
  </si>
  <si>
    <t xml:space="preserve">a patient presents with persistent cough and unexplained weight loss -- outline a differential</t>
  </si>
  <si>
    <t xml:space="preserve">ex_0017</t>
  </si>
  <si>
    <t xml:space="preserve">calculate the net present value of this cash flow series at a 7% discount rate</t>
  </si>
  <si>
    <t xml:space="preserve">contributor_b</t>
  </si>
  <si>
    <t xml:space="preserve">ex_0018</t>
  </si>
  <si>
    <t xml:space="preserve">explain the difference between a call option and a put option</t>
  </si>
  <si>
    <t xml:space="preserve">ex_0019</t>
  </si>
  <si>
    <t xml:space="preserve">derive the amortization schedule required under the loan agreement's payment terms</t>
  </si>
  <si>
    <t xml:space="preserve">law, math</t>
  </si>
  <si>
    <t xml:space="preserve">ex_0020</t>
  </si>
  <si>
    <t xml:space="preserve">prove that the bond pricing formula converges as maturity approaches zero</t>
  </si>
  <si>
    <t xml:space="preserve">SIZING GUIDANCE (derived from measured findings, not guesses)</t>
  </si>
  <si>
    <t xml:space="preserve">Examples in this draft, by domain</t>
  </si>
  <si>
    <t xml:space="preserve">Boundary examples in this draft</t>
  </si>
  <si>
    <t xml:space="preserve">Boundary ratio in this draft</t>
  </si>
  <si>
    <t xml:space="preserve">Recommended minimum calibration points (per domain, to avoid a degenerate threshold)</t>
  </si>
  <si>
    <t xml:space="preserve">8000 -- see Printer Prototype / Multi-Dimension Compounding sheets: this project's own tests used this scale to get a stable threshold</t>
  </si>
  <si>
    <t xml:space="preserve">Recommended boundary-example share of calibration set</t>
  </si>
  <si>
    <t xml:space="preserve">~33% -- the Printer Prototype fix used ~600 boundary examples against ~1200 clean (600/1800); a clean-only set of the same total size produced a degenerate threshold</t>
  </si>
  <si>
    <t xml:space="preserve">When adding M domains simultaneously</t>
  </si>
  <si>
    <t xml:space="preserve">Budget calibration size per TECHNICAL.md section 7's Bonferroni correction -- per-domain false-positive tolerance must shrink as M grows, or aggregate risk compounds silently</t>
  </si>
  <si>
    <t xml:space="preserve">Calibration split discipline</t>
  </si>
  <si>
    <t xml:space="preserve">Never reuse train-split examples for calibration -- this project's original text-validation failure (degenerate 0.01 threshold) came directly from calibrating on the training set instead of a genuinely held-out one</t>
  </si>
  <si>
    <t xml:space="preserve">This is a design draft (20 illustrative rows), not a production dataset. The schema and sizing guidance are what should scale -- the row count should not be read as a target.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</si>
</sst>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000"/>
    <numFmt numFmtId="166" formatCode="\+0.00%;\-0.00%"/>
    <numFmt numFmtId="167" formatCode="0.0%"/>
    <numFmt numFmtId="168" formatCode="0.000%"/>
    <numFmt numFmtId="169" formatCode="0.00"/>
    <numFmt numFmtId="170" formatCode="0.00%"/>
    <numFmt numFmtId="171" formatCode="0.0000"/>
    <numFmt numFmtId="172" formatCode="\+0.0%;\-0.0%"/>
    <numFmt numFmtId="173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9F9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MSE Before vs After Swap, by Domain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'Swap Isolation'!B4</c:f>
              <c:strCache>
                <c:ptCount val="1"/>
                <c:pt idx="0">
                  <c:v>MSE before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'Swap Isolation'!$A$5:$A$8</c:f>
              <c:strCache>
                <c:ptCount val="4"/>
                <c:pt idx="0">
                  <c:v>code</c:v>
                </c:pt>
                <c:pt idx="1">
                  <c:v>creative</c:v>
                </c:pt>
                <c:pt idx="2">
                  <c:v>math</c:v>
                </c:pt>
                <c:pt idx="3">
                  <c:v>reasoning</c:v>
                </c:pt>
              </c:strCache>
            </c:strRef>
          </c:cat>
          <c:val>
            <c:numRef>
              <c:f>'Swap Isolation'!$B$5:$B$8</c:f>
              <c:numCache>
                <c:formatCode>0.00000</c:formatCode>
                <c:ptCount val="4"/>
                <c:pt idx="0">
                  <c:v>0.19995</c:v>
                </c:pt>
                <c:pt idx="1">
                  <c:v>0.03786</c:v>
                </c:pt>
                <c:pt idx="2">
                  <c:v>0.08639</c:v>
                </c:pt>
                <c:pt idx="3">
                  <c:v>0.01046</c:v>
                </c:pt>
              </c:numCache>
            </c:numRef>
          </c:val>
        </c:ser>
        <c:ser>
          <c:idx val="1"/>
          <c:order val="1"/>
          <c:tx>
            <c:strRef>
              <c:f>'Swap Isolation'!C4</c:f>
              <c:strCache>
                <c:ptCount val="1"/>
                <c:pt idx="0">
                  <c:v>MSE after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'Swap Isolation'!$A$5:$A$8</c:f>
              <c:strCache>
                <c:ptCount val="4"/>
                <c:pt idx="0">
                  <c:v>code</c:v>
                </c:pt>
                <c:pt idx="1">
                  <c:v>creative</c:v>
                </c:pt>
                <c:pt idx="2">
                  <c:v>math</c:v>
                </c:pt>
                <c:pt idx="3">
                  <c:v>reasoning</c:v>
                </c:pt>
              </c:strCache>
            </c:strRef>
          </c:cat>
          <c:val>
            <c:numRef>
              <c:f>'Swap Isolation'!$C$5:$C$8</c:f>
              <c:numCache>
                <c:formatCode>0.00000</c:formatCode>
                <c:ptCount val="4"/>
                <c:pt idx="0">
                  <c:v>1.78403</c:v>
                </c:pt>
                <c:pt idx="1">
                  <c:v>0.03786</c:v>
                </c:pt>
                <c:pt idx="2">
                  <c:v>0.08639</c:v>
                </c:pt>
                <c:pt idx="3">
                  <c:v>0.01046</c:v>
                </c:pt>
              </c:numCache>
            </c:numRef>
          </c:val>
        </c:ser>
        <c:gapWidth val="150"/>
        <c:overlap val="0"/>
        <c:axId val="71504943"/>
        <c:axId val="37197833"/>
      </c:barChart>
      <c:catAx>
        <c:axId val="7150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97833"/>
        <c:crosses val="autoZero"/>
        <c:auto val="1"/>
        <c:lblAlgn val="ctr"/>
        <c:lblOffset val="100"/>
        <c:noMultiLvlLbl val="0"/>
      </c:catAx>
      <c:valAx>
        <c:axId val="371978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5049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MSE Before vs After Adding a New Domain, by Domain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'MSE by Domain (Addition Impact)'!B4</c:f>
              <c:strCache>
                <c:ptCount val="1"/>
                <c:pt idx="0">
                  <c:v>MSE before (v1, frozen)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'MSE by Domain (Addition Impact)'!$A$5:$A$8</c:f>
              <c:strCache>
                <c:ptCount val="4"/>
                <c:pt idx="0">
                  <c:v>code</c:v>
                </c:pt>
                <c:pt idx="1">
                  <c:v>creative</c:v>
                </c:pt>
                <c:pt idx="2">
                  <c:v>math</c:v>
                </c:pt>
                <c:pt idx="3">
                  <c:v>reasoning</c:v>
                </c:pt>
              </c:strCache>
            </c:strRef>
          </c:cat>
          <c:val>
            <c:numRef>
              <c:f>'MSE by Domain (Addition Impact)'!$B$5:$B$8</c:f>
              <c:numCache>
                <c:formatCode>0.00000</c:formatCode>
                <c:ptCount val="4"/>
                <c:pt idx="0">
                  <c:v>0.76979</c:v>
                </c:pt>
                <c:pt idx="1">
                  <c:v>0.03786</c:v>
                </c:pt>
                <c:pt idx="2">
                  <c:v>0.08639</c:v>
                </c:pt>
                <c:pt idx="3">
                  <c:v>0.48072</c:v>
                </c:pt>
              </c:numCache>
            </c:numRef>
          </c:val>
        </c:ser>
        <c:ser>
          <c:idx val="1"/>
          <c:order val="1"/>
          <c:tx>
            <c:strRef>
              <c:f>'MSE by Domain (Addition Impact)'!C4</c:f>
              <c:strCache>
                <c:ptCount val="1"/>
                <c:pt idx="0">
                  <c:v>MSE after (v2, jointly-retrained)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'MSE by Domain (Addition Impact)'!$A$5:$A$8</c:f>
              <c:strCache>
                <c:ptCount val="4"/>
                <c:pt idx="0">
                  <c:v>code</c:v>
                </c:pt>
                <c:pt idx="1">
                  <c:v>creative</c:v>
                </c:pt>
                <c:pt idx="2">
                  <c:v>math</c:v>
                </c:pt>
                <c:pt idx="3">
                  <c:v>reasoning</c:v>
                </c:pt>
              </c:strCache>
            </c:strRef>
          </c:cat>
          <c:val>
            <c:numRef>
              <c:f>'MSE by Domain (Addition Impact)'!$C$5:$C$8</c:f>
              <c:numCache>
                <c:formatCode>0.00000</c:formatCode>
                <c:ptCount val="4"/>
                <c:pt idx="0">
                  <c:v>0.76979</c:v>
                </c:pt>
                <c:pt idx="1">
                  <c:v>0.06567</c:v>
                </c:pt>
                <c:pt idx="2">
                  <c:v>0.26509</c:v>
                </c:pt>
                <c:pt idx="3">
                  <c:v>0.48072</c:v>
                </c:pt>
              </c:numCache>
            </c:numRef>
          </c:val>
        </c:ser>
        <c:gapWidth val="150"/>
        <c:overlap val="0"/>
        <c:axId val="66758618"/>
        <c:axId val="45708860"/>
      </c:barChart>
      <c:catAx>
        <c:axId val="667586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708860"/>
        <c:crosses val="autoZero"/>
        <c:auto val="1"/>
        <c:lblAlgn val="ctr"/>
        <c:lblOffset val="100"/>
        <c:noMultiLvlLbl val="0"/>
      </c:catAx>
      <c:valAx>
        <c:axId val="45708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7586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Flip Frequency Across 5 Seeds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'Multi-Seed Stability'!B4</c:f>
              <c:strCache>
                <c:ptCount val="1"/>
                <c:pt idx="0">
                  <c:v>Seeds it appears in (of 5)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'Multi-Seed Stability'!$A$5:$A$13</c:f>
              <c:strCache>
                <c:ptCount val="9"/>
                <c:pt idx="0">
                  <c:v>math#108</c:v>
                </c:pt>
                <c:pt idx="1">
                  <c:v>math#34</c:v>
                </c:pt>
                <c:pt idx="2">
                  <c:v>code#115</c:v>
                </c:pt>
                <c:pt idx="3">
                  <c:v>creative#134</c:v>
                </c:pt>
                <c:pt idx="4">
                  <c:v>reasoning#146</c:v>
                </c:pt>
                <c:pt idx="5">
                  <c:v>math#36</c:v>
                </c:pt>
                <c:pt idx="6">
                  <c:v>reasoning#149</c:v>
                </c:pt>
                <c:pt idx="7">
                  <c:v>code#82</c:v>
                </c:pt>
                <c:pt idx="8">
                  <c:v>code#70</c:v>
                </c:pt>
              </c:strCache>
            </c:strRef>
          </c:cat>
          <c:val>
            <c:numRef>
              <c:f>'Multi-Seed Stability'!$B$5:$B$13</c:f>
              <c:numCache>
                <c:formatCode>General</c:formatCode>
                <c:ptCount val="9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</c:ser>
        <c:gapWidth val="150"/>
        <c:overlap val="0"/>
        <c:axId val="50236363"/>
        <c:axId val="31799516"/>
      </c:barChart>
      <c:catAx>
        <c:axId val="502363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799516"/>
        <c:crosses val="autoZero"/>
        <c:auto val="1"/>
        <c:lblAlgn val="ctr"/>
        <c:lblOffset val="100"/>
        <c:noMultiLvlLbl val="0"/>
      </c:catAx>
      <c:valAx>
        <c:axId val="317995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Seeds (of 5)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2363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Small vs Large Gate: No Systematic Advantage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'Capacity Ablation'!B4</c:f>
              <c:strCache>
                <c:ptCount val="1"/>
                <c:pt idx="0">
                  <c:v>Small gate (33 params)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Ablation'!$A$5:$A$7</c:f>
              <c:strCache>
                <c:ptCount val="3"/>
                <c:pt idx="0">
                  <c:v>Overall AUC</c:v>
                </c:pt>
                <c:pt idx="1">
                  <c:v>Accuracy on ambiguous subset (2.53% of test set)</c:v>
                </c:pt>
                <c:pt idx="2">
                  <c:v>Overall accuracy</c:v>
                </c:pt>
              </c:strCache>
            </c:strRef>
          </c:cat>
          <c:val>
            <c:numRef>
              <c:f>'Capacity Ablation'!$B$5:$B$7</c:f>
              <c:numCache>
                <c:formatCode>0.00000</c:formatCode>
                <c:ptCount val="3"/>
                <c:pt idx="0">
                  <c:v>0.99604</c:v>
                </c:pt>
                <c:pt idx="1">
                  <c:v>0.636</c:v>
                </c:pt>
                <c:pt idx="2">
                  <c:v>0.9761</c:v>
                </c:pt>
              </c:numCache>
            </c:numRef>
          </c:val>
        </c:ser>
        <c:ser>
          <c:idx val="1"/>
          <c:order val="1"/>
          <c:tx>
            <c:strRef>
              <c:f>'Capacity Ablation'!C4</c:f>
              <c:strCache>
                <c:ptCount val="1"/>
                <c:pt idx="0">
                  <c:v>Large gate (10,753 params)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Ablation'!$A$5:$A$7</c:f>
              <c:strCache>
                <c:ptCount val="3"/>
                <c:pt idx="0">
                  <c:v>Overall AUC</c:v>
                </c:pt>
                <c:pt idx="1">
                  <c:v>Accuracy on ambiguous subset (2.53% of test set)</c:v>
                </c:pt>
                <c:pt idx="2">
                  <c:v>Overall accuracy</c:v>
                </c:pt>
              </c:strCache>
            </c:strRef>
          </c:cat>
          <c:val>
            <c:numRef>
              <c:f>'Capacity Ablation'!$C$5:$C$7</c:f>
              <c:numCache>
                <c:formatCode>0.00000</c:formatCode>
                <c:ptCount val="3"/>
                <c:pt idx="0">
                  <c:v>0.99614</c:v>
                </c:pt>
                <c:pt idx="1">
                  <c:v>0.625</c:v>
                </c:pt>
                <c:pt idx="2">
                  <c:v>0.9757</c:v>
                </c:pt>
              </c:numCache>
            </c:numRef>
          </c:val>
        </c:ser>
        <c:gapWidth val="150"/>
        <c:overlap val="0"/>
        <c:axId val="30653691"/>
        <c:axId val="95186024"/>
      </c:barChart>
      <c:catAx>
        <c:axId val="306536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186024"/>
        <c:crosses val="autoZero"/>
        <c:auto val="1"/>
        <c:lblAlgn val="ctr"/>
        <c:lblOffset val="100"/>
        <c:noMultiLvlLbl val="0"/>
      </c:catAx>
      <c:valAx>
        <c:axId val="951860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6536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Recall by Field: Uncorrected vs Bonferroni-Corrected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'Multi-Dimension Compounding'!C4</c:f>
              <c:strCache>
                <c:ptCount val="1"/>
                <c:pt idx="0">
                  <c:v>Recall (uncorrected)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'Multi-Dimension Compounding'!$A$5:$A$7</c:f>
              <c:strCache>
                <c:ptCount val="3"/>
                <c:pt idx="0">
                  <c:v>finance</c:v>
                </c:pt>
                <c:pt idx="1">
                  <c:v>law</c:v>
                </c:pt>
                <c:pt idx="2">
                  <c:v>medicine</c:v>
                </c:pt>
              </c:strCache>
            </c:strRef>
          </c:cat>
          <c:val>
            <c:numRef>
              <c:f>'Multi-Dimension Compounding'!$C$5:$C$7</c:f>
              <c:numCache>
                <c:formatCode>0.0%</c:formatCode>
                <c:ptCount val="3"/>
                <c:pt idx="0">
                  <c:v>0.7</c:v>
                </c:pt>
                <c:pt idx="1">
                  <c:v>0.88</c:v>
                </c:pt>
                <c:pt idx="2">
                  <c:v>0.613</c:v>
                </c:pt>
              </c:numCache>
            </c:numRef>
          </c:val>
        </c:ser>
        <c:ser>
          <c:idx val="1"/>
          <c:order val="1"/>
          <c:tx>
            <c:strRef>
              <c:f>'Multi-Dimension Compounding'!D4</c:f>
              <c:strCache>
                <c:ptCount val="1"/>
                <c:pt idx="0">
                  <c:v>Recall (Bonferroni-corrected)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'Multi-Dimension Compounding'!$A$5:$A$7</c:f>
              <c:strCache>
                <c:ptCount val="3"/>
                <c:pt idx="0">
                  <c:v>finance</c:v>
                </c:pt>
                <c:pt idx="1">
                  <c:v>law</c:v>
                </c:pt>
                <c:pt idx="2">
                  <c:v>medicine</c:v>
                </c:pt>
              </c:strCache>
            </c:strRef>
          </c:cat>
          <c:val>
            <c:numRef>
              <c:f>'Multi-Dimension Compounding'!$D$5:$D$7</c:f>
              <c:numCache>
                <c:formatCode>0.0%</c:formatCode>
                <c:ptCount val="3"/>
                <c:pt idx="0">
                  <c:v>0.507</c:v>
                </c:pt>
                <c:pt idx="1">
                  <c:v>0.8</c:v>
                </c:pt>
                <c:pt idx="2">
                  <c:v>0.447</c:v>
                </c:pt>
              </c:numCache>
            </c:numRef>
          </c:val>
        </c:ser>
        <c:gapWidth val="150"/>
        <c:overlap val="0"/>
        <c:axId val="32726769"/>
        <c:axId val="92227462"/>
      </c:barChart>
      <c:catAx>
        <c:axId val="327267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227462"/>
        <c:crosses val="autoZero"/>
        <c:auto val="1"/>
        <c:lblAlgn val="ctr"/>
        <c:lblOffset val="100"/>
        <c:noMultiLvlLbl val="0"/>
      </c:catAx>
      <c:valAx>
        <c:axId val="922274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Recall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267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Aggregate False-Capture Rate: Compounding vs Correction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'Multi-Dimension Compounding'!B8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'Multi-Dimension Compounding'!$A$9:$A$12</c:f>
              <c:strCache>
                <c:ptCount val="4"/>
                <c:pt idx="0">
                  <c:v>Aggregate FPR, uncorrected (&gt;=1 gate fires)</c:v>
                </c:pt>
                <c:pt idx="1">
                  <c:v>Naive independence prediction (1-(1-0.01)^3)</c:v>
                </c:pt>
                <c:pt idx="2">
                  <c:v>Aggregate FPR, Bonferroni-corrected</c:v>
                </c:pt>
                <c:pt idx="3">
                  <c:v>Target aggregate FPR</c:v>
                </c:pt>
              </c:strCache>
            </c:strRef>
          </c:cat>
          <c:val>
            <c:numRef>
              <c:f>'Multi-Dimension Compounding'!$B$9:$B$12</c:f>
              <c:numCache>
                <c:formatCode>0.00%</c:formatCode>
                <c:ptCount val="4"/>
                <c:pt idx="0">
                  <c:v>0.03</c:v>
                </c:pt>
                <c:pt idx="1">
                  <c:v>0.029701</c:v>
                </c:pt>
                <c:pt idx="2">
                  <c:v>0.0101</c:v>
                </c:pt>
                <c:pt idx="3">
                  <c:v>0.01</c:v>
                </c:pt>
              </c:numCache>
            </c:numRef>
          </c:val>
        </c:ser>
        <c:gapWidth val="150"/>
        <c:overlap val="0"/>
        <c:axId val="94042455"/>
        <c:axId val="56016836"/>
      </c:barChart>
      <c:catAx>
        <c:axId val="94042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016836"/>
        <c:crosses val="autoZero"/>
        <c:auto val="1"/>
        <c:lblAlgn val="ctr"/>
        <c:lblOffset val="100"/>
        <c:noMultiLvlLbl val="0"/>
      </c:catAx>
      <c:valAx>
        <c:axId val="560168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424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Clean-Only vs Systematic Calibration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'Printer Prototype (Calibration)'!B4</c:f>
              <c:strCache>
                <c:ptCount val="1"/>
                <c:pt idx="0">
                  <c:v>Clean-only calibration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'Printer Prototype (Calibration)'!$A$5:$A$7</c:f>
              <c:strCache>
                <c:ptCount val="3"/>
                <c:pt idx="0">
                  <c:v>Calibrated threshold</c:v>
                </c:pt>
                <c:pt idx="1">
                  <c:v>Genuine law recall</c:v>
                </c:pt>
                <c:pt idx="2">
                  <c:v>False-capture on fresh unambiguous data</c:v>
                </c:pt>
              </c:strCache>
            </c:strRef>
          </c:cat>
          <c:val>
            <c:numRef>
              <c:f>'Printer Prototype (Calibration)'!$B$5:$B$7</c:f>
              <c:numCache>
                <c:formatCode>0.0000</c:formatCode>
                <c:ptCount val="3"/>
                <c:pt idx="0">
                  <c:v>0.0031</c:v>
                </c:pt>
                <c:pt idx="1">
                  <c:v>1</c:v>
                </c:pt>
                <c:pt idx="2">
                  <c:v>0.016</c:v>
                </c:pt>
              </c:numCache>
            </c:numRef>
          </c:val>
        </c:ser>
        <c:ser>
          <c:idx val="1"/>
          <c:order val="1"/>
          <c:tx>
            <c:strRef>
              <c:f>'Printer Prototype (Calibration)'!C4</c:f>
              <c:strCache>
                <c:ptCount val="1"/>
                <c:pt idx="0">
                  <c:v>Printed (clean + systematic boundary)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'Printer Prototype (Calibration)'!$A$5:$A$7</c:f>
              <c:strCache>
                <c:ptCount val="3"/>
                <c:pt idx="0">
                  <c:v>Calibrated threshold</c:v>
                </c:pt>
                <c:pt idx="1">
                  <c:v>Genuine law recall</c:v>
                </c:pt>
                <c:pt idx="2">
                  <c:v>False-capture on fresh unambiguous data</c:v>
                </c:pt>
              </c:strCache>
            </c:strRef>
          </c:cat>
          <c:val>
            <c:numRef>
              <c:f>'Printer Prototype (Calibration)'!$C$5:$C$7</c:f>
              <c:numCache>
                <c:formatCode>0.0000</c:formatCode>
                <c:ptCount val="3"/>
                <c:pt idx="0">
                  <c:v>0.9943</c:v>
                </c:pt>
                <c:pt idx="1">
                  <c:v>0.92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9008199"/>
        <c:axId val="1644727"/>
      </c:barChart>
      <c:catAx>
        <c:axId val="9008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44727"/>
        <c:crosses val="autoZero"/>
        <c:auto val="1"/>
        <c:lblAlgn val="ctr"/>
        <c:lblOffset val="100"/>
        <c:noMultiLvlLbl val="0"/>
      </c:catAx>
      <c:valAx>
        <c:axId val="16447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Value (0-1 scale)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081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Mean Error by Solution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'Boundary Solutions Comparison'!B4</c:f>
              <c:strCache>
                <c:ptCount val="1"/>
                <c:pt idx="0">
                  <c:v>Mean error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'Boundary Solutions Comparison'!$A$5:$A$9</c:f>
              <c:strCache>
                <c:ptCount val="5"/>
                <c:pt idx="0">
                  <c:v>Baseline (broken)</c:v>
                </c:pt>
                <c:pt idx="1">
                  <c:v>A: Local Confidence</c:v>
                </c:pt>
                <c:pt idx="2">
                  <c:v>B: Adaptive tau</c:v>
                </c:pt>
                <c:pt idx="3">
                  <c:v>C: Variance Penalty</c:v>
                </c:pt>
                <c:pt idx="4">
                  <c:v>D: Gated One-vs-Rest</c:v>
                </c:pt>
              </c:strCache>
            </c:strRef>
          </c:cat>
          <c:val>
            <c:numRef>
              <c:f>'Boundary Solutions Comparison'!$B$5:$B$9</c:f>
              <c:numCache>
                <c:formatCode>0.0000</c:formatCode>
                <c:ptCount val="5"/>
                <c:pt idx="0">
                  <c:v>2.1466069276</c:v>
                </c:pt>
                <c:pt idx="1">
                  <c:v>2.1466069244</c:v>
                </c:pt>
                <c:pt idx="2">
                  <c:v>1.4536902334</c:v>
                </c:pt>
                <c:pt idx="3">
                  <c:v>2.1466069292</c:v>
                </c:pt>
                <c:pt idx="4">
                  <c:v>1.3046079307</c:v>
                </c:pt>
              </c:numCache>
            </c:numRef>
          </c:val>
        </c:ser>
        <c:gapWidth val="150"/>
        <c:overlap val="0"/>
        <c:axId val="12421922"/>
        <c:axId val="69380062"/>
      </c:barChart>
      <c:catAx>
        <c:axId val="124219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380062"/>
        <c:crosses val="autoZero"/>
        <c:auto val="1"/>
        <c:lblAlgn val="ctr"/>
        <c:lblOffset val="100"/>
        <c:noMultiLvlLbl val="0"/>
      </c:catAx>
      <c:valAx>
        <c:axId val="693800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Mean error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4219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2160</xdr:rowOff>
    </xdr:from>
    <xdr:to>
      <xdr:col>14</xdr:col>
      <xdr:colOff>255960</xdr:colOff>
      <xdr:row>17</xdr:row>
      <xdr:rowOff>24120</xdr:rowOff>
    </xdr:to>
    <xdr:graphicFrame>
      <xdr:nvGraphicFramePr>
        <xdr:cNvPr id="0" name="Chart 1"/>
        <xdr:cNvGraphicFramePr/>
      </xdr:nvGraphicFramePr>
      <xdr:xfrm>
        <a:off x="4417560" y="7621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14</xdr:col>
      <xdr:colOff>255960</xdr:colOff>
      <xdr:row>17</xdr:row>
      <xdr:rowOff>47520</xdr:rowOff>
    </xdr:to>
    <xdr:graphicFrame>
      <xdr:nvGraphicFramePr>
        <xdr:cNvPr id="1" name="Chart 1"/>
        <xdr:cNvGraphicFramePr/>
      </xdr:nvGraphicFramePr>
      <xdr:xfrm>
        <a:off x="5827320" y="7621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13</xdr:col>
      <xdr:colOff>255960</xdr:colOff>
      <xdr:row>17</xdr:row>
      <xdr:rowOff>47520</xdr:rowOff>
    </xdr:to>
    <xdr:graphicFrame>
      <xdr:nvGraphicFramePr>
        <xdr:cNvPr id="2" name="Chart 1"/>
        <xdr:cNvGraphicFramePr/>
      </xdr:nvGraphicFramePr>
      <xdr:xfrm>
        <a:off x="5404320" y="7621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2160</xdr:rowOff>
    </xdr:from>
    <xdr:to>
      <xdr:col>13</xdr:col>
      <xdr:colOff>255960</xdr:colOff>
      <xdr:row>16</xdr:row>
      <xdr:rowOff>64080</xdr:rowOff>
    </xdr:to>
    <xdr:graphicFrame>
      <xdr:nvGraphicFramePr>
        <xdr:cNvPr id="3" name="Chart 1"/>
        <xdr:cNvGraphicFramePr/>
      </xdr:nvGraphicFramePr>
      <xdr:xfrm>
        <a:off x="6814080" y="7621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14</xdr:col>
      <xdr:colOff>255960</xdr:colOff>
      <xdr:row>17</xdr:row>
      <xdr:rowOff>47520</xdr:rowOff>
    </xdr:to>
    <xdr:graphicFrame>
      <xdr:nvGraphicFramePr>
        <xdr:cNvPr id="4" name="Chart 1"/>
        <xdr:cNvGraphicFramePr/>
      </xdr:nvGraphicFramePr>
      <xdr:xfrm>
        <a:off x="8223840" y="7621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18</xdr:row>
      <xdr:rowOff>25200</xdr:rowOff>
    </xdr:from>
    <xdr:to>
      <xdr:col>14</xdr:col>
      <xdr:colOff>255960</xdr:colOff>
      <xdr:row>33</xdr:row>
      <xdr:rowOff>47520</xdr:rowOff>
    </xdr:to>
    <xdr:graphicFrame>
      <xdr:nvGraphicFramePr>
        <xdr:cNvPr id="5" name="Chart 2"/>
        <xdr:cNvGraphicFramePr/>
      </xdr:nvGraphicFramePr>
      <xdr:xfrm>
        <a:off x="8223840" y="3809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14</xdr:col>
      <xdr:colOff>255960</xdr:colOff>
      <xdr:row>17</xdr:row>
      <xdr:rowOff>47520</xdr:rowOff>
    </xdr:to>
    <xdr:graphicFrame>
      <xdr:nvGraphicFramePr>
        <xdr:cNvPr id="6" name="Chart 1"/>
        <xdr:cNvGraphicFramePr/>
      </xdr:nvGraphicFramePr>
      <xdr:xfrm>
        <a:off x="8271360" y="7621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176040</xdr:rowOff>
    </xdr:from>
    <xdr:to>
      <xdr:col>15</xdr:col>
      <xdr:colOff>256320</xdr:colOff>
      <xdr:row>17</xdr:row>
      <xdr:rowOff>47520</xdr:rowOff>
    </xdr:to>
    <xdr:graphicFrame>
      <xdr:nvGraphicFramePr>
        <xdr:cNvPr id="7" name="Chart 1"/>
        <xdr:cNvGraphicFramePr/>
      </xdr:nvGraphicFramePr>
      <xdr:xfrm>
        <a:off x="8083080" y="7621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55"/>
    <col collapsed="false" customWidth="true" hidden="false" outlineLevel="0" max="4" min="4" style="0" width="28"/>
  </cols>
  <sheetData>
    <row r="1" customFormat="false" ht="16.15" hidden="false" customHeight="true" outlineLevel="0" collapsed="false">
      <c r="A1" s="1" t="s">
        <v>0</v>
      </c>
      <c r="B1" s="1"/>
      <c r="C1" s="1"/>
      <c r="D1" s="1"/>
    </row>
    <row r="2" customFormat="false" ht="30" hidden="false" customHeight="true" outlineLevel="0" collapsed="false">
      <c r="A2" s="2" t="s">
        <v>1</v>
      </c>
      <c r="B2" s="2"/>
      <c r="C2" s="2"/>
      <c r="D2" s="2"/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3.85" hidden="false" customHeight="false" outlineLevel="0" collapsed="false">
      <c r="A5" s="4" t="s">
        <v>6</v>
      </c>
      <c r="B5" s="4" t="s">
        <v>7</v>
      </c>
      <c r="C5" s="4" t="s">
        <v>8</v>
      </c>
      <c r="D5" s="4" t="s">
        <v>9</v>
      </c>
    </row>
    <row r="6" customFormat="false" ht="35.05" hidden="false" customHeight="false" outlineLevel="0" collapsed="false">
      <c r="A6" s="4" t="s">
        <v>10</v>
      </c>
      <c r="B6" s="4" t="s">
        <v>11</v>
      </c>
      <c r="C6" s="4" t="s">
        <v>12</v>
      </c>
      <c r="D6" s="4" t="s">
        <v>13</v>
      </c>
    </row>
    <row r="7" customFormat="false" ht="23.85" hidden="false" customHeight="false" outlineLevel="0" collapsed="false">
      <c r="A7" s="4" t="s">
        <v>14</v>
      </c>
      <c r="B7" s="4" t="s">
        <v>15</v>
      </c>
      <c r="C7" s="4" t="s">
        <v>16</v>
      </c>
      <c r="D7" s="4" t="s">
        <v>17</v>
      </c>
    </row>
    <row r="8" customFormat="false" ht="35.05" hidden="false" customHeight="false" outlineLevel="0" collapsed="false">
      <c r="A8" s="4" t="s">
        <v>18</v>
      </c>
      <c r="B8" s="4" t="s">
        <v>19</v>
      </c>
      <c r="C8" s="4" t="s">
        <v>20</v>
      </c>
      <c r="D8" s="4" t="s">
        <v>21</v>
      </c>
    </row>
    <row r="9" customFormat="false" ht="23.85" hidden="false" customHeight="false" outlineLevel="0" collapsed="false">
      <c r="A9" s="4" t="s">
        <v>22</v>
      </c>
      <c r="B9" s="4" t="s">
        <v>23</v>
      </c>
      <c r="C9" s="4" t="s">
        <v>24</v>
      </c>
      <c r="D9" s="4" t="s">
        <v>9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  <col collapsed="false" customWidth="true" hidden="false" outlineLevel="0" max="4" min="4" style="0" width="12"/>
  </cols>
  <sheetData>
    <row r="1" customFormat="false" ht="29.85" hidden="false" customHeight="true" outlineLevel="0" collapsed="false">
      <c r="A1" s="1" t="s">
        <v>25</v>
      </c>
      <c r="B1" s="1"/>
      <c r="C1" s="1"/>
      <c r="D1" s="1"/>
    </row>
    <row r="2" customFormat="false" ht="30" hidden="false" customHeight="true" outlineLevel="0" collapsed="false">
      <c r="A2" s="2" t="s">
        <v>26</v>
      </c>
      <c r="B2" s="2"/>
      <c r="C2" s="2"/>
      <c r="D2" s="2"/>
    </row>
    <row r="4" customFormat="false" ht="15" hidden="false" customHeight="false" outlineLevel="0" collapsed="false">
      <c r="A4" s="3" t="s">
        <v>27</v>
      </c>
      <c r="B4" s="3" t="s">
        <v>28</v>
      </c>
      <c r="C4" s="3" t="s">
        <v>29</v>
      </c>
      <c r="D4" s="3" t="s">
        <v>30</v>
      </c>
    </row>
    <row r="5" customFormat="false" ht="15" hidden="false" customHeight="false" outlineLevel="0" collapsed="false">
      <c r="A5" s="5" t="s">
        <v>31</v>
      </c>
      <c r="B5" s="6" t="n">
        <v>0.19995</v>
      </c>
      <c r="C5" s="6" t="n">
        <v>1.78403</v>
      </c>
      <c r="D5" s="7" t="n">
        <f aca="false">(C5-B5)/B5</f>
        <v>7.92238059514879</v>
      </c>
    </row>
    <row r="6" customFormat="false" ht="15" hidden="false" customHeight="false" outlineLevel="0" collapsed="false">
      <c r="A6" s="5" t="s">
        <v>32</v>
      </c>
      <c r="B6" s="6" t="n">
        <v>0.03786</v>
      </c>
      <c r="C6" s="6" t="n">
        <v>0.03786</v>
      </c>
      <c r="D6" s="7" t="n">
        <f aca="false">(C6-B6)/B6</f>
        <v>0</v>
      </c>
    </row>
    <row r="7" customFormat="false" ht="15" hidden="false" customHeight="false" outlineLevel="0" collapsed="false">
      <c r="A7" s="5" t="s">
        <v>33</v>
      </c>
      <c r="B7" s="6" t="n">
        <v>0.08639</v>
      </c>
      <c r="C7" s="6" t="n">
        <v>0.08639</v>
      </c>
      <c r="D7" s="7" t="n">
        <f aca="false">(C7-B7)/B7</f>
        <v>0</v>
      </c>
    </row>
    <row r="8" customFormat="false" ht="15" hidden="false" customHeight="false" outlineLevel="0" collapsed="false">
      <c r="A8" s="5" t="s">
        <v>34</v>
      </c>
      <c r="B8" s="6" t="n">
        <v>0.01046</v>
      </c>
      <c r="C8" s="6" t="n">
        <v>0.01046</v>
      </c>
      <c r="D8" s="7" t="n">
        <f aca="false">(C8-B8)/B8</f>
        <v>0</v>
      </c>
    </row>
    <row r="10" customFormat="false" ht="15" hidden="false" customHeight="false" outlineLevel="0" collapsed="false">
      <c r="A10" s="8" t="s">
        <v>35</v>
      </c>
      <c r="B10" s="8"/>
      <c r="C10" s="8"/>
      <c r="D10" s="8"/>
    </row>
  </sheetData>
  <mergeCells count="3">
    <mergeCell ref="A1:D1"/>
    <mergeCell ref="A2:D2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4"/>
  </cols>
  <sheetData>
    <row r="1" customFormat="false" ht="29.85" hidden="false" customHeight="true" outlineLevel="0" collapsed="false">
      <c r="A1" s="1" t="s">
        <v>36</v>
      </c>
      <c r="B1" s="1"/>
      <c r="C1" s="1"/>
      <c r="D1" s="1"/>
      <c r="E1" s="1"/>
    </row>
    <row r="2" customFormat="false" ht="30" hidden="false" customHeight="true" outlineLevel="0" collapsed="false">
      <c r="A2" s="2" t="s">
        <v>37</v>
      </c>
      <c r="B2" s="2"/>
      <c r="C2" s="2"/>
      <c r="D2" s="2"/>
      <c r="E2" s="2"/>
    </row>
    <row r="4" customFormat="false" ht="26.85" hidden="false" customHeight="false" outlineLevel="0" collapsed="false">
      <c r="A4" s="3" t="s">
        <v>38</v>
      </c>
      <c r="B4" s="3" t="s">
        <v>39</v>
      </c>
      <c r="C4" s="3" t="s">
        <v>40</v>
      </c>
      <c r="D4" s="3" t="s">
        <v>41</v>
      </c>
      <c r="E4" s="3" t="s">
        <v>42</v>
      </c>
    </row>
    <row r="5" customFormat="false" ht="15" hidden="false" customHeight="false" outlineLevel="0" collapsed="false">
      <c r="A5" s="5" t="s">
        <v>43</v>
      </c>
      <c r="B5" s="5" t="n">
        <v>0.701</v>
      </c>
      <c r="C5" s="5" t="s">
        <v>44</v>
      </c>
      <c r="D5" s="5" t="s">
        <v>45</v>
      </c>
      <c r="E5" s="9" t="s">
        <v>46</v>
      </c>
    </row>
    <row r="6" customFormat="false" ht="15" hidden="false" customHeight="false" outlineLevel="0" collapsed="false">
      <c r="A6" s="5" t="s">
        <v>47</v>
      </c>
      <c r="B6" s="5" t="n">
        <v>0.64</v>
      </c>
      <c r="C6" s="5" t="s">
        <v>44</v>
      </c>
      <c r="D6" s="5" t="s">
        <v>48</v>
      </c>
      <c r="E6" s="9" t="s">
        <v>46</v>
      </c>
    </row>
    <row r="7" customFormat="false" ht="15" hidden="false" customHeight="false" outlineLevel="0" collapsed="false">
      <c r="A7" s="5" t="s">
        <v>49</v>
      </c>
      <c r="B7" s="5" t="n">
        <v>0.441</v>
      </c>
      <c r="C7" s="5" t="s">
        <v>44</v>
      </c>
      <c r="D7" s="5" t="s">
        <v>48</v>
      </c>
      <c r="E7" s="9" t="s">
        <v>46</v>
      </c>
    </row>
    <row r="8" customFormat="false" ht="15" hidden="false" customHeight="false" outlineLevel="0" collapsed="false">
      <c r="A8" s="5" t="s">
        <v>50</v>
      </c>
      <c r="B8" s="5" t="n">
        <v>0.794</v>
      </c>
      <c r="C8" s="5" t="s">
        <v>51</v>
      </c>
      <c r="D8" s="5" t="s">
        <v>52</v>
      </c>
      <c r="E8" s="10" t="s">
        <v>53</v>
      </c>
    </row>
    <row r="9" customFormat="false" ht="15" hidden="false" customHeight="false" outlineLevel="0" collapsed="false">
      <c r="A9" s="11" t="s">
        <v>54</v>
      </c>
      <c r="B9" s="5" t="str">
        <f aca="false">COUNTIF(E5:E8,"FIXED")&amp;"/"&amp;COUNTA(E5:E8)</f>
        <v>3/4</v>
      </c>
    </row>
    <row r="10" customFormat="false" ht="15" hidden="false" customHeight="false" outlineLevel="0" collapsed="false">
      <c r="A10" s="11" t="s">
        <v>55</v>
      </c>
      <c r="B10" s="12" t="n">
        <v>0.887</v>
      </c>
    </row>
    <row r="12" customFormat="false" ht="15" hidden="false" customHeight="false" outlineLevel="0" collapsed="false">
      <c r="A12" s="8" t="s">
        <v>56</v>
      </c>
      <c r="B12" s="8"/>
      <c r="C12" s="8"/>
      <c r="D12" s="8"/>
      <c r="E12" s="8"/>
    </row>
  </sheetData>
  <mergeCells count="3">
    <mergeCell ref="A1:E1"/>
    <mergeCell ref="A2:E2"/>
    <mergeCell ref="A12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2"/>
  </cols>
  <sheetData>
    <row r="1" customFormat="false" ht="16.15" hidden="false" customHeight="true" outlineLevel="0" collapsed="false">
      <c r="A1" s="1" t="s">
        <v>57</v>
      </c>
      <c r="B1" s="1"/>
      <c r="C1" s="1"/>
      <c r="D1" s="1"/>
    </row>
    <row r="2" customFormat="false" ht="30" hidden="false" customHeight="true" outlineLevel="0" collapsed="false">
      <c r="A2" s="2" t="s">
        <v>58</v>
      </c>
      <c r="B2" s="2"/>
      <c r="C2" s="2"/>
      <c r="D2" s="2"/>
    </row>
    <row r="4" customFormat="false" ht="26.85" hidden="false" customHeight="false" outlineLevel="0" collapsed="false">
      <c r="A4" s="3" t="s">
        <v>27</v>
      </c>
      <c r="B4" s="3" t="s">
        <v>59</v>
      </c>
      <c r="C4" s="3" t="s">
        <v>60</v>
      </c>
      <c r="D4" s="3" t="s">
        <v>30</v>
      </c>
    </row>
    <row r="5" customFormat="false" ht="15" hidden="false" customHeight="false" outlineLevel="0" collapsed="false">
      <c r="A5" s="5" t="s">
        <v>31</v>
      </c>
      <c r="B5" s="6" t="n">
        <v>0.76979</v>
      </c>
      <c r="C5" s="6" t="n">
        <v>0.76979</v>
      </c>
      <c r="D5" s="7" t="n">
        <f aca="false">(C5-B5)/B5</f>
        <v>0</v>
      </c>
    </row>
    <row r="6" customFormat="false" ht="15" hidden="false" customHeight="false" outlineLevel="0" collapsed="false">
      <c r="A6" s="5" t="s">
        <v>32</v>
      </c>
      <c r="B6" s="6" t="n">
        <v>0.03786</v>
      </c>
      <c r="C6" s="6" t="n">
        <v>0.06567</v>
      </c>
      <c r="D6" s="7" t="n">
        <f aca="false">(C6-B6)/B6</f>
        <v>0.734548335974644</v>
      </c>
    </row>
    <row r="7" customFormat="false" ht="15" hidden="false" customHeight="false" outlineLevel="0" collapsed="false">
      <c r="A7" s="5" t="s">
        <v>33</v>
      </c>
      <c r="B7" s="6" t="n">
        <v>0.08639</v>
      </c>
      <c r="C7" s="6" t="n">
        <v>0.26509</v>
      </c>
      <c r="D7" s="7" t="n">
        <f aca="false">(C7-B7)/B7</f>
        <v>2.06852644982058</v>
      </c>
    </row>
    <row r="8" customFormat="false" ht="15" hidden="false" customHeight="false" outlineLevel="0" collapsed="false">
      <c r="A8" s="5" t="s">
        <v>34</v>
      </c>
      <c r="B8" s="6" t="n">
        <v>0.48072</v>
      </c>
      <c r="C8" s="6" t="n">
        <v>0.48072</v>
      </c>
      <c r="D8" s="7" t="n">
        <f aca="false">(C8-B8)/B8</f>
        <v>0</v>
      </c>
    </row>
    <row r="10" customFormat="false" ht="15" hidden="false" customHeight="false" outlineLevel="0" collapsed="false">
      <c r="A10" s="8" t="s">
        <v>61</v>
      </c>
      <c r="B10" s="8"/>
      <c r="C10" s="8"/>
      <c r="D10" s="8"/>
    </row>
  </sheetData>
  <mergeCells count="3">
    <mergeCell ref="A1:D1"/>
    <mergeCell ref="A2:D2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20"/>
  </cols>
  <sheetData>
    <row r="1" customFormat="false" ht="16.15" hidden="false" customHeight="true" outlineLevel="0" collapsed="false">
      <c r="A1" s="1" t="s">
        <v>62</v>
      </c>
      <c r="B1" s="1"/>
      <c r="C1" s="1"/>
    </row>
    <row r="2" customFormat="false" ht="30" hidden="false" customHeight="true" outlineLevel="0" collapsed="false">
      <c r="A2" s="2" t="s">
        <v>63</v>
      </c>
      <c r="B2" s="2"/>
      <c r="C2" s="2"/>
    </row>
    <row r="4" customFormat="false" ht="26.85" hidden="false" customHeight="false" outlineLevel="0" collapsed="false">
      <c r="A4" s="3" t="s">
        <v>64</v>
      </c>
      <c r="B4" s="3" t="s">
        <v>65</v>
      </c>
      <c r="C4" s="3" t="s">
        <v>66</v>
      </c>
    </row>
    <row r="5" customFormat="false" ht="15" hidden="false" customHeight="false" outlineLevel="0" collapsed="false">
      <c r="A5" s="5" t="s">
        <v>50</v>
      </c>
      <c r="B5" s="13" t="n">
        <v>5</v>
      </c>
      <c r="C5" s="10" t="s">
        <v>67</v>
      </c>
    </row>
    <row r="6" customFormat="false" ht="15" hidden="false" customHeight="false" outlineLevel="0" collapsed="false">
      <c r="A6" s="5" t="s">
        <v>47</v>
      </c>
      <c r="B6" s="13" t="n">
        <v>5</v>
      </c>
      <c r="C6" s="10" t="s">
        <v>67</v>
      </c>
    </row>
    <row r="7" customFormat="false" ht="15" hidden="false" customHeight="false" outlineLevel="0" collapsed="false">
      <c r="A7" s="5" t="s">
        <v>68</v>
      </c>
      <c r="B7" s="13" t="n">
        <v>5</v>
      </c>
      <c r="C7" s="10" t="s">
        <v>67</v>
      </c>
    </row>
    <row r="8" customFormat="false" ht="15" hidden="false" customHeight="false" outlineLevel="0" collapsed="false">
      <c r="A8" s="5" t="s">
        <v>43</v>
      </c>
      <c r="B8" s="13" t="n">
        <v>5</v>
      </c>
      <c r="C8" s="10" t="s">
        <v>67</v>
      </c>
    </row>
    <row r="9" customFormat="false" ht="15" hidden="false" customHeight="false" outlineLevel="0" collapsed="false">
      <c r="A9" s="5" t="s">
        <v>69</v>
      </c>
      <c r="B9" s="13" t="n">
        <v>5</v>
      </c>
      <c r="C9" s="10" t="s">
        <v>67</v>
      </c>
    </row>
    <row r="10" customFormat="false" ht="15" hidden="false" customHeight="false" outlineLevel="0" collapsed="false">
      <c r="A10" s="5" t="s">
        <v>49</v>
      </c>
      <c r="B10" s="13" t="n">
        <v>2</v>
      </c>
      <c r="C10" s="14" t="s">
        <v>70</v>
      </c>
    </row>
    <row r="11" customFormat="false" ht="15" hidden="false" customHeight="false" outlineLevel="0" collapsed="false">
      <c r="A11" s="5" t="s">
        <v>71</v>
      </c>
      <c r="B11" s="13" t="n">
        <v>2</v>
      </c>
      <c r="C11" s="14" t="s">
        <v>70</v>
      </c>
    </row>
    <row r="12" customFormat="false" ht="15" hidden="false" customHeight="false" outlineLevel="0" collapsed="false">
      <c r="A12" s="5" t="s">
        <v>72</v>
      </c>
      <c r="B12" s="13" t="n">
        <v>2</v>
      </c>
      <c r="C12" s="14" t="s">
        <v>70</v>
      </c>
    </row>
    <row r="13" customFormat="false" ht="15" hidden="false" customHeight="false" outlineLevel="0" collapsed="false">
      <c r="A13" s="5" t="s">
        <v>73</v>
      </c>
      <c r="B13" s="13" t="n">
        <v>1</v>
      </c>
      <c r="C13" s="14" t="s">
        <v>70</v>
      </c>
    </row>
    <row r="15" customFormat="false" ht="15" hidden="false" customHeight="false" outlineLevel="0" collapsed="false">
      <c r="A15" s="8" t="s">
        <v>74</v>
      </c>
      <c r="B15" s="8"/>
      <c r="C15" s="8"/>
    </row>
  </sheetData>
  <mergeCells count="3">
    <mergeCell ref="A1:C1"/>
    <mergeCell ref="A2:C2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24"/>
  </cols>
  <sheetData>
    <row r="1" customFormat="false" ht="29.85" hidden="false" customHeight="true" outlineLevel="0" collapsed="false">
      <c r="A1" s="1" t="s">
        <v>75</v>
      </c>
      <c r="B1" s="1"/>
      <c r="C1" s="1"/>
    </row>
    <row r="2" customFormat="false" ht="30" hidden="false" customHeight="true" outlineLevel="0" collapsed="false">
      <c r="A2" s="2" t="s">
        <v>76</v>
      </c>
      <c r="B2" s="2"/>
      <c r="C2" s="2"/>
    </row>
    <row r="4" customFormat="false" ht="26.85" hidden="false" customHeight="false" outlineLevel="0" collapsed="false">
      <c r="A4" s="3" t="s">
        <v>77</v>
      </c>
      <c r="B4" s="3" t="s">
        <v>78</v>
      </c>
      <c r="C4" s="3" t="s">
        <v>79</v>
      </c>
    </row>
    <row r="5" customFormat="false" ht="15" hidden="false" customHeight="false" outlineLevel="0" collapsed="false">
      <c r="A5" s="5" t="s">
        <v>80</v>
      </c>
      <c r="B5" s="6" t="n">
        <v>0.99604</v>
      </c>
      <c r="C5" s="6" t="n">
        <v>0.99614</v>
      </c>
    </row>
    <row r="6" customFormat="false" ht="15" hidden="false" customHeight="false" outlineLevel="0" collapsed="false">
      <c r="A6" s="5" t="s">
        <v>81</v>
      </c>
      <c r="B6" s="15" t="n">
        <v>0.636</v>
      </c>
      <c r="C6" s="15" t="n">
        <v>0.625</v>
      </c>
    </row>
    <row r="7" customFormat="false" ht="15" hidden="false" customHeight="false" outlineLevel="0" collapsed="false">
      <c r="A7" s="5" t="s">
        <v>82</v>
      </c>
      <c r="B7" s="15" t="n">
        <v>0.9761</v>
      </c>
      <c r="C7" s="15" t="n">
        <v>0.9757</v>
      </c>
    </row>
    <row r="8" customFormat="false" ht="15" hidden="false" customHeight="false" outlineLevel="0" collapsed="false">
      <c r="A8" s="5" t="s">
        <v>83</v>
      </c>
      <c r="B8" s="5" t="n">
        <v>32</v>
      </c>
    </row>
    <row r="9" customFormat="false" ht="15" hidden="false" customHeight="false" outlineLevel="0" collapsed="false">
      <c r="A9" s="5" t="s">
        <v>84</v>
      </c>
      <c r="B9" s="5" t="n">
        <v>36</v>
      </c>
    </row>
    <row r="10" customFormat="false" ht="15" hidden="false" customHeight="false" outlineLevel="0" collapsed="false">
      <c r="A10" s="11" t="s">
        <v>85</v>
      </c>
      <c r="B10" s="16" t="n">
        <f aca="false">B8/B9</f>
        <v>0.888888888888889</v>
      </c>
    </row>
    <row r="12" customFormat="false" ht="15" hidden="false" customHeight="false" outlineLevel="0" collapsed="false">
      <c r="A12" s="8" t="s">
        <v>86</v>
      </c>
      <c r="B12" s="8"/>
      <c r="C12" s="8"/>
    </row>
  </sheetData>
  <mergeCells count="3">
    <mergeCell ref="A1:C1"/>
    <mergeCell ref="A2:C2"/>
    <mergeCell ref="A12:C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24"/>
  </cols>
  <sheetData>
    <row r="1" customFormat="false" ht="16.15" hidden="false" customHeight="true" outlineLevel="0" collapsed="false">
      <c r="A1" s="1" t="s">
        <v>87</v>
      </c>
      <c r="B1" s="1"/>
      <c r="C1" s="1"/>
      <c r="D1" s="1"/>
    </row>
    <row r="2" customFormat="false" ht="30" hidden="false" customHeight="true" outlineLevel="0" collapsed="false">
      <c r="A2" s="2" t="s">
        <v>88</v>
      </c>
      <c r="B2" s="2"/>
      <c r="C2" s="2"/>
      <c r="D2" s="2"/>
    </row>
    <row r="4" customFormat="false" ht="26.85" hidden="false" customHeight="false" outlineLevel="0" collapsed="false">
      <c r="A4" s="3" t="s">
        <v>89</v>
      </c>
      <c r="B4" s="3" t="s">
        <v>90</v>
      </c>
      <c r="C4" s="3" t="s">
        <v>91</v>
      </c>
      <c r="D4" s="3" t="s">
        <v>92</v>
      </c>
    </row>
    <row r="5" customFormat="false" ht="15" hidden="false" customHeight="false" outlineLevel="0" collapsed="false">
      <c r="A5" s="5" t="s">
        <v>93</v>
      </c>
      <c r="B5" s="12" t="n">
        <v>0.01</v>
      </c>
      <c r="C5" s="12" t="n">
        <v>0.7</v>
      </c>
      <c r="D5" s="12" t="n">
        <v>0.507</v>
      </c>
    </row>
    <row r="6" customFormat="false" ht="15" hidden="false" customHeight="false" outlineLevel="0" collapsed="false">
      <c r="A6" s="5" t="s">
        <v>94</v>
      </c>
      <c r="B6" s="12" t="n">
        <v>0.01</v>
      </c>
      <c r="C6" s="12" t="n">
        <v>0.88</v>
      </c>
      <c r="D6" s="12" t="n">
        <v>0.8</v>
      </c>
    </row>
    <row r="7" customFormat="false" ht="15" hidden="false" customHeight="false" outlineLevel="0" collapsed="false">
      <c r="A7" s="5" t="s">
        <v>95</v>
      </c>
      <c r="B7" s="12" t="n">
        <v>0.01</v>
      </c>
      <c r="C7" s="12" t="n">
        <v>0.613</v>
      </c>
      <c r="D7" s="12" t="n">
        <v>0.447</v>
      </c>
    </row>
    <row r="9" customFormat="false" ht="15" hidden="false" customHeight="false" outlineLevel="0" collapsed="false">
      <c r="A9" s="11" t="s">
        <v>96</v>
      </c>
      <c r="B9" s="17" t="n">
        <v>0.03</v>
      </c>
    </row>
    <row r="10" customFormat="false" ht="15" hidden="false" customHeight="false" outlineLevel="0" collapsed="false">
      <c r="A10" s="11" t="s">
        <v>97</v>
      </c>
      <c r="B10" s="17" t="n">
        <f aca="false">1-(1-0.01)^3</f>
        <v>0.029701</v>
      </c>
    </row>
    <row r="11" customFormat="false" ht="15" hidden="false" customHeight="false" outlineLevel="0" collapsed="false">
      <c r="A11" s="11" t="s">
        <v>98</v>
      </c>
      <c r="B11" s="17" t="n">
        <v>0.0101</v>
      </c>
    </row>
    <row r="12" customFormat="false" ht="15" hidden="false" customHeight="false" outlineLevel="0" collapsed="false">
      <c r="A12" s="11" t="s">
        <v>99</v>
      </c>
      <c r="B12" s="17" t="n">
        <v>0.01</v>
      </c>
    </row>
    <row r="14" customFormat="false" ht="15" hidden="false" customHeight="false" outlineLevel="0" collapsed="false">
      <c r="A14" s="8" t="s">
        <v>100</v>
      </c>
      <c r="B14" s="8"/>
      <c r="C14" s="8"/>
      <c r="D14" s="8"/>
    </row>
  </sheetData>
  <mergeCells count="3">
    <mergeCell ref="A1:D1"/>
    <mergeCell ref="A2:D2"/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55"/>
  </cols>
  <sheetData>
    <row r="1" customFormat="false" ht="16.15" hidden="false" customHeight="true" outlineLevel="0" collapsed="false">
      <c r="A1" s="1" t="s">
        <v>101</v>
      </c>
      <c r="B1" s="1"/>
      <c r="C1" s="1"/>
      <c r="D1" s="1"/>
    </row>
    <row r="2" customFormat="false" ht="30" hidden="false" customHeight="true" outlineLevel="0" collapsed="false">
      <c r="A2" s="2" t="s">
        <v>102</v>
      </c>
      <c r="B2" s="2"/>
      <c r="C2" s="2"/>
      <c r="D2" s="2"/>
    </row>
    <row r="4" customFormat="false" ht="26.85" hidden="false" customHeight="false" outlineLevel="0" collapsed="false">
      <c r="A4" s="3" t="s">
        <v>103</v>
      </c>
      <c r="B4" s="3" t="s">
        <v>104</v>
      </c>
      <c r="C4" s="3" t="s">
        <v>105</v>
      </c>
      <c r="D4" s="3" t="s">
        <v>106</v>
      </c>
    </row>
    <row r="5" customFormat="false" ht="23.85" hidden="false" customHeight="false" outlineLevel="0" collapsed="false">
      <c r="A5" s="5" t="s">
        <v>31</v>
      </c>
      <c r="B5" s="5" t="s">
        <v>33</v>
      </c>
      <c r="C5" s="5" t="s">
        <v>31</v>
      </c>
      <c r="D5" s="18" t="s">
        <v>107</v>
      </c>
    </row>
    <row r="6" customFormat="false" ht="23.85" hidden="false" customHeight="false" outlineLevel="0" collapsed="false">
      <c r="A6" s="5" t="s">
        <v>31</v>
      </c>
      <c r="B6" s="5" t="s">
        <v>33</v>
      </c>
      <c r="C6" s="5" t="s">
        <v>31</v>
      </c>
      <c r="D6" s="18" t="s">
        <v>108</v>
      </c>
    </row>
    <row r="7" customFormat="false" ht="23.85" hidden="false" customHeight="false" outlineLevel="0" collapsed="false">
      <c r="A7" s="5" t="s">
        <v>33</v>
      </c>
      <c r="B7" s="5" t="s">
        <v>34</v>
      </c>
      <c r="C7" s="5" t="s">
        <v>94</v>
      </c>
      <c r="D7" s="18" t="s">
        <v>109</v>
      </c>
    </row>
    <row r="8" customFormat="false" ht="23.85" hidden="false" customHeight="false" outlineLevel="0" collapsed="false">
      <c r="A8" s="5" t="s">
        <v>33</v>
      </c>
      <c r="B8" s="5" t="s">
        <v>32</v>
      </c>
      <c r="C8" s="5" t="s">
        <v>94</v>
      </c>
      <c r="D8" s="18" t="s">
        <v>110</v>
      </c>
    </row>
    <row r="9" customFormat="false" ht="15" hidden="false" customHeight="false" outlineLevel="0" collapsed="false">
      <c r="A9" s="5" t="s">
        <v>32</v>
      </c>
      <c r="B9" s="5" t="s">
        <v>32</v>
      </c>
      <c r="C9" s="5" t="s">
        <v>94</v>
      </c>
      <c r="D9" s="18" t="s">
        <v>111</v>
      </c>
    </row>
    <row r="10" customFormat="false" ht="15" hidden="false" customHeight="false" outlineLevel="0" collapsed="false">
      <c r="A10" s="5" t="s">
        <v>34</v>
      </c>
      <c r="B10" s="5" t="s">
        <v>32</v>
      </c>
      <c r="C10" s="5" t="s">
        <v>94</v>
      </c>
      <c r="D10" s="18" t="s">
        <v>112</v>
      </c>
    </row>
    <row r="12" customFormat="false" ht="15" hidden="false" customHeight="false" outlineLevel="0" collapsed="false">
      <c r="A12" s="8" t="s">
        <v>113</v>
      </c>
      <c r="B12" s="8"/>
      <c r="C12" s="8"/>
      <c r="D12" s="8"/>
    </row>
  </sheetData>
  <mergeCells count="3">
    <mergeCell ref="A1:D1"/>
    <mergeCell ref="A2:D2"/>
    <mergeCell ref="A12:D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4"/>
    <col collapsed="false" customWidth="true" hidden="false" outlineLevel="0" max="3" min="3" style="0" width="34"/>
  </cols>
  <sheetData>
    <row r="1" customFormat="false" ht="16.15" hidden="false" customHeight="true" outlineLevel="0" collapsed="false">
      <c r="A1" s="1" t="s">
        <v>114</v>
      </c>
      <c r="B1" s="1"/>
      <c r="C1" s="1"/>
    </row>
    <row r="2" customFormat="false" ht="30" hidden="false" customHeight="true" outlineLevel="0" collapsed="false">
      <c r="A2" s="2" t="s">
        <v>115</v>
      </c>
      <c r="B2" s="2"/>
      <c r="C2" s="2"/>
    </row>
    <row r="4" customFormat="false" ht="26.85" hidden="false" customHeight="false" outlineLevel="0" collapsed="false">
      <c r="A4" s="3" t="s">
        <v>77</v>
      </c>
      <c r="B4" s="3" t="s">
        <v>116</v>
      </c>
      <c r="C4" s="3" t="s">
        <v>117</v>
      </c>
    </row>
    <row r="5" customFormat="false" ht="15" hidden="false" customHeight="false" outlineLevel="0" collapsed="false">
      <c r="A5" s="5" t="s">
        <v>118</v>
      </c>
      <c r="B5" s="19" t="n">
        <v>0.0031</v>
      </c>
      <c r="C5" s="19" t="n">
        <v>0.9943</v>
      </c>
    </row>
    <row r="6" customFormat="false" ht="15" hidden="false" customHeight="false" outlineLevel="0" collapsed="false">
      <c r="A6" s="5" t="s">
        <v>119</v>
      </c>
      <c r="B6" s="20" t="n">
        <v>1</v>
      </c>
      <c r="C6" s="20" t="n">
        <v>0.92</v>
      </c>
    </row>
    <row r="7" customFormat="false" ht="15" hidden="false" customHeight="false" outlineLevel="0" collapsed="false">
      <c r="A7" s="5" t="s">
        <v>120</v>
      </c>
      <c r="B7" s="20" t="n">
        <v>0.016</v>
      </c>
      <c r="C7" s="20" t="n">
        <v>0</v>
      </c>
    </row>
    <row r="9" customFormat="false" ht="15" hidden="false" customHeight="false" outlineLevel="0" collapsed="false">
      <c r="A9" s="8" t="s">
        <v>121</v>
      </c>
      <c r="B9" s="8"/>
      <c r="C9" s="8"/>
    </row>
  </sheetData>
  <mergeCells count="3">
    <mergeCell ref="A1:C1"/>
    <mergeCell ref="A2:C2"/>
    <mergeCell ref="A9:C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30"/>
  </cols>
  <sheetData>
    <row r="1" customFormat="false" ht="16.15" hidden="false" customHeight="true" outlineLevel="0" collapsed="false">
      <c r="A1" s="1" t="s">
        <v>122</v>
      </c>
      <c r="B1" s="1"/>
      <c r="C1" s="1"/>
      <c r="D1" s="1"/>
      <c r="E1" s="1"/>
    </row>
    <row r="2" customFormat="false" ht="30" hidden="false" customHeight="true" outlineLevel="0" collapsed="false">
      <c r="A2" s="2" t="s">
        <v>123</v>
      </c>
      <c r="B2" s="2"/>
      <c r="C2" s="2"/>
      <c r="D2" s="2"/>
      <c r="E2" s="2"/>
    </row>
    <row r="4" customFormat="false" ht="26.85" hidden="false" customHeight="false" outlineLevel="0" collapsed="false">
      <c r="A4" s="3" t="s">
        <v>124</v>
      </c>
      <c r="B4" s="3" t="s">
        <v>125</v>
      </c>
      <c r="C4" s="3" t="s">
        <v>126</v>
      </c>
      <c r="D4" s="3" t="s">
        <v>127</v>
      </c>
      <c r="E4" s="3" t="s">
        <v>128</v>
      </c>
    </row>
    <row r="5" customFormat="false" ht="15" hidden="false" customHeight="false" outlineLevel="0" collapsed="false">
      <c r="A5" s="5" t="s">
        <v>129</v>
      </c>
      <c r="B5" s="19" t="n">
        <v>2.1466069276</v>
      </c>
      <c r="C5" s="5" t="s">
        <v>130</v>
      </c>
      <c r="D5" s="5" t="s">
        <v>130</v>
      </c>
      <c r="E5" s="14" t="s">
        <v>130</v>
      </c>
    </row>
    <row r="6" customFormat="false" ht="15" hidden="false" customHeight="false" outlineLevel="0" collapsed="false">
      <c r="A6" s="5" t="s">
        <v>131</v>
      </c>
      <c r="B6" s="19" t="n">
        <v>2.1466069244</v>
      </c>
      <c r="C6" s="21" t="n">
        <f aca="false">(B6-B5)/B5</f>
        <v>-1.49072483817376E-009</v>
      </c>
      <c r="D6" s="5" t="n">
        <v>2</v>
      </c>
      <c r="E6" s="14" t="s">
        <v>132</v>
      </c>
    </row>
    <row r="7" customFormat="false" ht="15" hidden="false" customHeight="false" outlineLevel="0" collapsed="false">
      <c r="A7" s="5" t="s">
        <v>133</v>
      </c>
      <c r="B7" s="19" t="n">
        <v>1.4536902334</v>
      </c>
      <c r="C7" s="21" t="n">
        <f aca="false">(B7-B5)/B5</f>
        <v>-0.32279626292584</v>
      </c>
      <c r="D7" s="5" t="n">
        <v>3</v>
      </c>
      <c r="E7" s="14" t="s">
        <v>132</v>
      </c>
    </row>
    <row r="8" customFormat="false" ht="15" hidden="false" customHeight="false" outlineLevel="0" collapsed="false">
      <c r="A8" s="5" t="s">
        <v>134</v>
      </c>
      <c r="B8" s="19" t="n">
        <v>2.1466069292</v>
      </c>
      <c r="C8" s="21" t="n">
        <f aca="false">(B8-B5)/B5</f>
        <v>7.45362212207268E-010</v>
      </c>
      <c r="D8" s="5" t="n">
        <v>1</v>
      </c>
      <c r="E8" s="14" t="s">
        <v>132</v>
      </c>
    </row>
    <row r="9" customFormat="false" ht="15" hidden="false" customHeight="false" outlineLevel="0" collapsed="false">
      <c r="A9" s="5" t="s">
        <v>135</v>
      </c>
      <c r="B9" s="19" t="n">
        <v>1.3046079307</v>
      </c>
      <c r="C9" s="21" t="n">
        <f aca="false">(B9-B5)/B5</f>
        <v>-0.392246473294201</v>
      </c>
      <c r="D9" s="5" t="n">
        <v>2</v>
      </c>
      <c r="E9" s="9" t="s">
        <v>136</v>
      </c>
    </row>
    <row r="11" customFormat="false" ht="15" hidden="false" customHeight="false" outlineLevel="0" collapsed="false">
      <c r="A11" s="8" t="s">
        <v>137</v>
      </c>
      <c r="B11" s="8"/>
      <c r="C11" s="8"/>
      <c r="D11" s="8"/>
      <c r="E11" s="8"/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9" min="8" style="0" width="14"/>
  </cols>
  <sheetData>
    <row r="1" customFormat="false" ht="16.15" hidden="false" customHeight="true" outlineLevel="0" collapsed="false">
      <c r="A1" s="1" t="s">
        <v>138</v>
      </c>
      <c r="B1" s="1"/>
      <c r="C1" s="1"/>
      <c r="D1" s="1"/>
      <c r="E1" s="1"/>
      <c r="F1" s="1"/>
      <c r="G1" s="1"/>
      <c r="H1" s="1"/>
      <c r="I1" s="1"/>
    </row>
    <row r="2" customFormat="false" ht="30" hidden="false" customHeight="true" outlineLevel="0" collapsed="false">
      <c r="A2" s="2" t="s">
        <v>139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0" t="s">
        <v>140</v>
      </c>
    </row>
    <row r="6" customFormat="false" ht="15" hidden="false" customHeight="false" outlineLevel="0" collapsed="false">
      <c r="A6" s="22"/>
    </row>
    <row r="7" customFormat="false" ht="15" hidden="false" customHeight="false" outlineLevel="0" collapsed="false">
      <c r="A7" s="3" t="s">
        <v>89</v>
      </c>
      <c r="B7" s="3" t="s">
        <v>141</v>
      </c>
      <c r="C7" s="3" t="s">
        <v>142</v>
      </c>
    </row>
    <row r="8" customFormat="false" ht="15" hidden="false" customHeight="false" outlineLevel="0" collapsed="false">
      <c r="A8" s="5" t="s">
        <v>143</v>
      </c>
      <c r="B8" s="5" t="s">
        <v>144</v>
      </c>
      <c r="C8" s="5" t="s">
        <v>145</v>
      </c>
    </row>
    <row r="9" customFormat="false" ht="15" hidden="false" customHeight="false" outlineLevel="0" collapsed="false">
      <c r="A9" s="5" t="s">
        <v>146</v>
      </c>
      <c r="B9" s="5" t="s">
        <v>147</v>
      </c>
      <c r="C9" s="5" t="s">
        <v>148</v>
      </c>
    </row>
    <row r="10" customFormat="false" ht="15" hidden="false" customHeight="false" outlineLevel="0" collapsed="false">
      <c r="A10" s="5" t="s">
        <v>144</v>
      </c>
      <c r="B10" s="5" t="s">
        <v>144</v>
      </c>
      <c r="C10" s="5" t="s">
        <v>149</v>
      </c>
    </row>
    <row r="11" customFormat="false" ht="15" hidden="false" customHeight="false" outlineLevel="0" collapsed="false">
      <c r="A11" s="5" t="s">
        <v>150</v>
      </c>
      <c r="B11" s="5" t="s">
        <v>151</v>
      </c>
      <c r="C11" s="5" t="s">
        <v>152</v>
      </c>
    </row>
    <row r="12" customFormat="false" ht="15" hidden="false" customHeight="false" outlineLevel="0" collapsed="false">
      <c r="A12" s="5" t="s">
        <v>153</v>
      </c>
      <c r="B12" s="5" t="s">
        <v>144</v>
      </c>
      <c r="C12" s="5" t="s">
        <v>154</v>
      </c>
    </row>
    <row r="13" customFormat="false" ht="15" hidden="false" customHeight="false" outlineLevel="0" collapsed="false">
      <c r="A13" s="5" t="s">
        <v>155</v>
      </c>
      <c r="B13" s="5" t="s">
        <v>147</v>
      </c>
      <c r="C13" s="5" t="s">
        <v>156</v>
      </c>
    </row>
    <row r="14" customFormat="false" ht="15" hidden="false" customHeight="false" outlineLevel="0" collapsed="false">
      <c r="A14" s="5" t="s">
        <v>157</v>
      </c>
      <c r="B14" s="5" t="s">
        <v>147</v>
      </c>
      <c r="C14" s="5" t="s">
        <v>158</v>
      </c>
    </row>
    <row r="15" customFormat="false" ht="15" hidden="false" customHeight="false" outlineLevel="0" collapsed="false">
      <c r="A15" s="5" t="s">
        <v>159</v>
      </c>
      <c r="B15" s="5" t="s">
        <v>144</v>
      </c>
      <c r="C15" s="5" t="s">
        <v>160</v>
      </c>
    </row>
    <row r="16" customFormat="false" ht="15" hidden="false" customHeight="false" outlineLevel="0" collapsed="false">
      <c r="A16" s="5" t="s">
        <v>161</v>
      </c>
      <c r="B16" s="5" t="s">
        <v>144</v>
      </c>
      <c r="C16" s="5" t="s">
        <v>162</v>
      </c>
    </row>
    <row r="18" customFormat="false" ht="15" hidden="false" customHeight="false" outlineLevel="0" collapsed="false">
      <c r="A18" s="22" t="s">
        <v>163</v>
      </c>
    </row>
    <row r="19" customFormat="false" ht="39.55" hidden="false" customHeight="false" outlineLevel="0" collapsed="false">
      <c r="A19" s="3" t="s">
        <v>143</v>
      </c>
      <c r="B19" s="3" t="s">
        <v>146</v>
      </c>
      <c r="C19" s="3" t="s">
        <v>144</v>
      </c>
      <c r="D19" s="3" t="s">
        <v>150</v>
      </c>
      <c r="E19" s="3" t="s">
        <v>153</v>
      </c>
      <c r="F19" s="3" t="s">
        <v>155</v>
      </c>
      <c r="G19" s="3" t="s">
        <v>157</v>
      </c>
      <c r="H19" s="3" t="s">
        <v>159</v>
      </c>
      <c r="I19" s="3" t="s">
        <v>161</v>
      </c>
    </row>
    <row r="20" customFormat="false" ht="23.85" hidden="false" customHeight="false" outlineLevel="0" collapsed="false">
      <c r="A20" s="5" t="s">
        <v>164</v>
      </c>
      <c r="B20" s="5" t="s">
        <v>31</v>
      </c>
      <c r="C20" s="4" t="s">
        <v>165</v>
      </c>
      <c r="D20" s="23" t="b">
        <f aca="false">FALSE()</f>
        <v>0</v>
      </c>
      <c r="E20" s="5"/>
      <c r="F20" s="5" t="s">
        <v>166</v>
      </c>
      <c r="G20" s="5" t="s">
        <v>167</v>
      </c>
      <c r="H20" s="5" t="s">
        <v>168</v>
      </c>
      <c r="I20" s="5" t="s">
        <v>169</v>
      </c>
    </row>
    <row r="21" customFormat="false" ht="23.85" hidden="false" customHeight="false" outlineLevel="0" collapsed="false">
      <c r="A21" s="5" t="s">
        <v>170</v>
      </c>
      <c r="B21" s="5" t="s">
        <v>31</v>
      </c>
      <c r="C21" s="4" t="s">
        <v>171</v>
      </c>
      <c r="D21" s="23" t="b">
        <f aca="false">FALSE()</f>
        <v>0</v>
      </c>
      <c r="E21" s="5"/>
      <c r="F21" s="5" t="s">
        <v>166</v>
      </c>
      <c r="G21" s="5" t="s">
        <v>167</v>
      </c>
      <c r="H21" s="5" t="s">
        <v>168</v>
      </c>
      <c r="I21" s="5" t="s">
        <v>169</v>
      </c>
    </row>
    <row r="22" customFormat="false" ht="15" hidden="false" customHeight="false" outlineLevel="0" collapsed="false">
      <c r="A22" s="5" t="s">
        <v>172</v>
      </c>
      <c r="B22" s="5" t="s">
        <v>33</v>
      </c>
      <c r="C22" s="4" t="s">
        <v>173</v>
      </c>
      <c r="D22" s="23" t="b">
        <f aca="false">FALSE()</f>
        <v>0</v>
      </c>
      <c r="E22" s="5"/>
      <c r="F22" s="5" t="s">
        <v>166</v>
      </c>
      <c r="G22" s="5" t="s">
        <v>167</v>
      </c>
      <c r="H22" s="5" t="s">
        <v>168</v>
      </c>
      <c r="I22" s="5" t="s">
        <v>169</v>
      </c>
    </row>
    <row r="23" customFormat="false" ht="15" hidden="false" customHeight="false" outlineLevel="0" collapsed="false">
      <c r="A23" s="5" t="s">
        <v>174</v>
      </c>
      <c r="B23" s="5" t="s">
        <v>33</v>
      </c>
      <c r="C23" s="4" t="s">
        <v>175</v>
      </c>
      <c r="D23" s="23" t="b">
        <f aca="false">FALSE()</f>
        <v>0</v>
      </c>
      <c r="E23" s="5"/>
      <c r="F23" s="5" t="s">
        <v>176</v>
      </c>
      <c r="G23" s="5" t="s">
        <v>167</v>
      </c>
      <c r="H23" s="5" t="s">
        <v>168</v>
      </c>
      <c r="I23" s="5" t="s">
        <v>169</v>
      </c>
    </row>
    <row r="24" customFormat="false" ht="23.85" hidden="false" customHeight="false" outlineLevel="0" collapsed="false">
      <c r="A24" s="5" t="s">
        <v>177</v>
      </c>
      <c r="B24" s="5" t="s">
        <v>32</v>
      </c>
      <c r="C24" s="4" t="s">
        <v>178</v>
      </c>
      <c r="D24" s="23" t="b">
        <f aca="false">FALSE()</f>
        <v>0</v>
      </c>
      <c r="E24" s="5"/>
      <c r="F24" s="5" t="s">
        <v>166</v>
      </c>
      <c r="G24" s="5" t="s">
        <v>167</v>
      </c>
      <c r="H24" s="5" t="s">
        <v>168</v>
      </c>
      <c r="I24" s="5" t="s">
        <v>169</v>
      </c>
    </row>
    <row r="25" customFormat="false" ht="23.85" hidden="false" customHeight="false" outlineLevel="0" collapsed="false">
      <c r="A25" s="5" t="s">
        <v>179</v>
      </c>
      <c r="B25" s="5" t="s">
        <v>34</v>
      </c>
      <c r="C25" s="4" t="s">
        <v>180</v>
      </c>
      <c r="D25" s="23" t="b">
        <f aca="false">FALSE()</f>
        <v>0</v>
      </c>
      <c r="E25" s="5"/>
      <c r="F25" s="5" t="s">
        <v>166</v>
      </c>
      <c r="G25" s="5" t="s">
        <v>167</v>
      </c>
      <c r="H25" s="5" t="s">
        <v>168</v>
      </c>
      <c r="I25" s="5" t="s">
        <v>169</v>
      </c>
    </row>
    <row r="26" customFormat="false" ht="23.85" hidden="false" customHeight="false" outlineLevel="0" collapsed="false">
      <c r="A26" s="5" t="s">
        <v>181</v>
      </c>
      <c r="B26" s="5" t="s">
        <v>94</v>
      </c>
      <c r="C26" s="4" t="s">
        <v>182</v>
      </c>
      <c r="D26" s="23" t="b">
        <f aca="false">FALSE()</f>
        <v>0</v>
      </c>
      <c r="E26" s="5"/>
      <c r="F26" s="5" t="s">
        <v>166</v>
      </c>
      <c r="G26" s="5" t="s">
        <v>167</v>
      </c>
      <c r="H26" s="5" t="s">
        <v>168</v>
      </c>
      <c r="I26" s="5" t="s">
        <v>169</v>
      </c>
    </row>
    <row r="27" customFormat="false" ht="23.85" hidden="false" customHeight="false" outlineLevel="0" collapsed="false">
      <c r="A27" s="5" t="s">
        <v>183</v>
      </c>
      <c r="B27" s="5" t="s">
        <v>94</v>
      </c>
      <c r="C27" s="4" t="s">
        <v>184</v>
      </c>
      <c r="D27" s="23" t="b">
        <f aca="false">FALSE()</f>
        <v>0</v>
      </c>
      <c r="E27" s="5"/>
      <c r="F27" s="5" t="s">
        <v>176</v>
      </c>
      <c r="G27" s="5" t="s">
        <v>167</v>
      </c>
      <c r="H27" s="5" t="s">
        <v>168</v>
      </c>
      <c r="I27" s="5" t="s">
        <v>169</v>
      </c>
    </row>
    <row r="28" customFormat="false" ht="23.85" hidden="false" customHeight="false" outlineLevel="0" collapsed="false">
      <c r="A28" s="5" t="s">
        <v>185</v>
      </c>
      <c r="B28" s="5" t="s">
        <v>31</v>
      </c>
      <c r="C28" s="4" t="s">
        <v>186</v>
      </c>
      <c r="D28" s="24" t="b">
        <f aca="false">TRUE()</f>
        <v>1</v>
      </c>
      <c r="E28" s="5" t="s">
        <v>94</v>
      </c>
      <c r="F28" s="5" t="s">
        <v>187</v>
      </c>
      <c r="G28" s="5" t="s">
        <v>188</v>
      </c>
      <c r="H28" s="5" t="s">
        <v>168</v>
      </c>
      <c r="I28" s="5" t="s">
        <v>189</v>
      </c>
    </row>
    <row r="29" customFormat="false" ht="23.85" hidden="false" customHeight="false" outlineLevel="0" collapsed="false">
      <c r="A29" s="5" t="s">
        <v>190</v>
      </c>
      <c r="B29" s="5" t="s">
        <v>33</v>
      </c>
      <c r="C29" s="4" t="s">
        <v>191</v>
      </c>
      <c r="D29" s="24" t="b">
        <f aca="false">TRUE()</f>
        <v>1</v>
      </c>
      <c r="E29" s="5" t="s">
        <v>94</v>
      </c>
      <c r="F29" s="5" t="s">
        <v>187</v>
      </c>
      <c r="G29" s="5" t="s">
        <v>188</v>
      </c>
      <c r="H29" s="5" t="s">
        <v>168</v>
      </c>
      <c r="I29" s="5" t="s">
        <v>189</v>
      </c>
    </row>
    <row r="30" customFormat="false" ht="23.85" hidden="false" customHeight="false" outlineLevel="0" collapsed="false">
      <c r="A30" s="5" t="s">
        <v>192</v>
      </c>
      <c r="B30" s="5" t="s">
        <v>32</v>
      </c>
      <c r="C30" s="4" t="s">
        <v>193</v>
      </c>
      <c r="D30" s="24" t="b">
        <f aca="false">TRUE()</f>
        <v>1</v>
      </c>
      <c r="E30" s="5" t="s">
        <v>94</v>
      </c>
      <c r="F30" s="5" t="s">
        <v>187</v>
      </c>
      <c r="G30" s="5" t="s">
        <v>188</v>
      </c>
      <c r="H30" s="5" t="s">
        <v>168</v>
      </c>
      <c r="I30" s="5" t="s">
        <v>189</v>
      </c>
    </row>
    <row r="31" customFormat="false" ht="23.85" hidden="false" customHeight="false" outlineLevel="0" collapsed="false">
      <c r="A31" s="5" t="s">
        <v>194</v>
      </c>
      <c r="B31" s="5" t="s">
        <v>34</v>
      </c>
      <c r="C31" s="4" t="s">
        <v>195</v>
      </c>
      <c r="D31" s="24" t="b">
        <f aca="false">TRUE()</f>
        <v>1</v>
      </c>
      <c r="E31" s="5" t="s">
        <v>94</v>
      </c>
      <c r="F31" s="5" t="s">
        <v>187</v>
      </c>
      <c r="G31" s="5" t="s">
        <v>188</v>
      </c>
      <c r="H31" s="5" t="s">
        <v>168</v>
      </c>
      <c r="I31" s="5" t="s">
        <v>189</v>
      </c>
    </row>
    <row r="32" customFormat="false" ht="23.85" hidden="false" customHeight="false" outlineLevel="0" collapsed="false">
      <c r="A32" s="5" t="s">
        <v>196</v>
      </c>
      <c r="B32" s="5" t="s">
        <v>95</v>
      </c>
      <c r="C32" s="4" t="s">
        <v>197</v>
      </c>
      <c r="D32" s="23" t="b">
        <f aca="false">FALSE()</f>
        <v>0</v>
      </c>
      <c r="E32" s="5"/>
      <c r="F32" s="5" t="s">
        <v>166</v>
      </c>
      <c r="G32" s="5" t="s">
        <v>167</v>
      </c>
      <c r="H32" s="5" t="s">
        <v>198</v>
      </c>
      <c r="I32" s="5" t="s">
        <v>199</v>
      </c>
    </row>
    <row r="33" customFormat="false" ht="23.85" hidden="false" customHeight="false" outlineLevel="0" collapsed="false">
      <c r="A33" s="5" t="s">
        <v>200</v>
      </c>
      <c r="B33" s="5" t="s">
        <v>95</v>
      </c>
      <c r="C33" s="4" t="s">
        <v>201</v>
      </c>
      <c r="D33" s="23" t="b">
        <f aca="false">FALSE()</f>
        <v>0</v>
      </c>
      <c r="E33" s="5"/>
      <c r="F33" s="5" t="s">
        <v>176</v>
      </c>
      <c r="G33" s="5" t="s">
        <v>167</v>
      </c>
      <c r="H33" s="5" t="s">
        <v>198</v>
      </c>
      <c r="I33" s="5" t="s">
        <v>199</v>
      </c>
    </row>
    <row r="34" customFormat="false" ht="23.85" hidden="false" customHeight="false" outlineLevel="0" collapsed="false">
      <c r="A34" s="5" t="s">
        <v>202</v>
      </c>
      <c r="B34" s="5" t="s">
        <v>95</v>
      </c>
      <c r="C34" s="4" t="s">
        <v>203</v>
      </c>
      <c r="D34" s="24" t="b">
        <f aca="false">TRUE()</f>
        <v>1</v>
      </c>
      <c r="E34" s="5" t="s">
        <v>94</v>
      </c>
      <c r="F34" s="5" t="s">
        <v>187</v>
      </c>
      <c r="G34" s="5" t="s">
        <v>188</v>
      </c>
      <c r="H34" s="5" t="s">
        <v>198</v>
      </c>
      <c r="I34" s="5" t="s">
        <v>189</v>
      </c>
    </row>
    <row r="35" customFormat="false" ht="23.85" hidden="false" customHeight="false" outlineLevel="0" collapsed="false">
      <c r="A35" s="5" t="s">
        <v>204</v>
      </c>
      <c r="B35" s="5" t="s">
        <v>95</v>
      </c>
      <c r="C35" s="4" t="s">
        <v>205</v>
      </c>
      <c r="D35" s="24" t="b">
        <f aca="false">TRUE()</f>
        <v>1</v>
      </c>
      <c r="E35" s="5" t="s">
        <v>34</v>
      </c>
      <c r="F35" s="5" t="s">
        <v>187</v>
      </c>
      <c r="G35" s="5" t="s">
        <v>167</v>
      </c>
      <c r="H35" s="5" t="s">
        <v>198</v>
      </c>
      <c r="I35" s="5" t="s">
        <v>199</v>
      </c>
    </row>
    <row r="36" customFormat="false" ht="23.85" hidden="false" customHeight="false" outlineLevel="0" collapsed="false">
      <c r="A36" s="5" t="s">
        <v>206</v>
      </c>
      <c r="B36" s="5" t="s">
        <v>93</v>
      </c>
      <c r="C36" s="4" t="s">
        <v>207</v>
      </c>
      <c r="D36" s="23" t="b">
        <f aca="false">FALSE()</f>
        <v>0</v>
      </c>
      <c r="E36" s="5"/>
      <c r="F36" s="5" t="s">
        <v>166</v>
      </c>
      <c r="G36" s="5" t="s">
        <v>167</v>
      </c>
      <c r="H36" s="5" t="s">
        <v>198</v>
      </c>
      <c r="I36" s="5" t="s">
        <v>208</v>
      </c>
    </row>
    <row r="37" customFormat="false" ht="23.85" hidden="false" customHeight="false" outlineLevel="0" collapsed="false">
      <c r="A37" s="5" t="s">
        <v>209</v>
      </c>
      <c r="B37" s="5" t="s">
        <v>93</v>
      </c>
      <c r="C37" s="4" t="s">
        <v>210</v>
      </c>
      <c r="D37" s="23" t="b">
        <f aca="false">FALSE()</f>
        <v>0</v>
      </c>
      <c r="E37" s="5"/>
      <c r="F37" s="5" t="s">
        <v>176</v>
      </c>
      <c r="G37" s="5" t="s">
        <v>167</v>
      </c>
      <c r="H37" s="5" t="s">
        <v>198</v>
      </c>
      <c r="I37" s="5" t="s">
        <v>208</v>
      </c>
    </row>
    <row r="38" customFormat="false" ht="23.85" hidden="false" customHeight="false" outlineLevel="0" collapsed="false">
      <c r="A38" s="5" t="s">
        <v>211</v>
      </c>
      <c r="B38" s="5" t="s">
        <v>93</v>
      </c>
      <c r="C38" s="4" t="s">
        <v>212</v>
      </c>
      <c r="D38" s="24" t="b">
        <f aca="false">TRUE()</f>
        <v>1</v>
      </c>
      <c r="E38" s="5" t="s">
        <v>213</v>
      </c>
      <c r="F38" s="5" t="s">
        <v>187</v>
      </c>
      <c r="G38" s="5" t="s">
        <v>188</v>
      </c>
      <c r="H38" s="5" t="s">
        <v>198</v>
      </c>
      <c r="I38" s="5" t="s">
        <v>189</v>
      </c>
    </row>
    <row r="39" customFormat="false" ht="23.85" hidden="false" customHeight="false" outlineLevel="0" collapsed="false">
      <c r="A39" s="5" t="s">
        <v>214</v>
      </c>
      <c r="B39" s="5" t="s">
        <v>93</v>
      </c>
      <c r="C39" s="4" t="s">
        <v>215</v>
      </c>
      <c r="D39" s="24" t="b">
        <f aca="false">TRUE()</f>
        <v>1</v>
      </c>
      <c r="E39" s="5" t="s">
        <v>33</v>
      </c>
      <c r="F39" s="5" t="s">
        <v>187</v>
      </c>
      <c r="G39" s="5" t="s">
        <v>188</v>
      </c>
      <c r="H39" s="5" t="s">
        <v>198</v>
      </c>
      <c r="I39" s="5" t="s">
        <v>189</v>
      </c>
    </row>
    <row r="42" customFormat="false" ht="15" hidden="false" customHeight="false" outlineLevel="0" collapsed="false">
      <c r="A42" s="22" t="s">
        <v>216</v>
      </c>
    </row>
    <row r="43" customFormat="false" ht="35.05" hidden="false" customHeight="false" outlineLevel="0" collapsed="false">
      <c r="A43" s="25" t="s">
        <v>217</v>
      </c>
      <c r="B43" s="26" t="n">
        <f aca="false">COUNTIF(B20:B39,"code")+COUNTIF(B20:B39,"math")+COUNTIF(B20:B39,"creative")+COUNTIF(B20:B39,"reasoning")+COUNTIF(B20:B39,"law")+COUNTIF(B20:B39,"medicine")+COUNTIF(B20:B39,"finance")</f>
        <v>20</v>
      </c>
      <c r="C43" s="26"/>
      <c r="D43" s="26"/>
      <c r="E43" s="26"/>
      <c r="F43" s="26"/>
      <c r="G43" s="26"/>
      <c r="H43" s="26"/>
      <c r="I43" s="26"/>
    </row>
    <row r="44" customFormat="false" ht="35.05" hidden="false" customHeight="false" outlineLevel="0" collapsed="false">
      <c r="A44" s="25" t="s">
        <v>218</v>
      </c>
      <c r="B44" s="26" t="n">
        <f aca="false">COUNTIF(D20:D39,TRUE())</f>
        <v>8</v>
      </c>
      <c r="C44" s="26"/>
      <c r="D44" s="26"/>
      <c r="E44" s="26"/>
      <c r="F44" s="26"/>
      <c r="G44" s="26"/>
      <c r="H44" s="26"/>
      <c r="I44" s="26"/>
    </row>
    <row r="45" customFormat="false" ht="35.05" hidden="false" customHeight="false" outlineLevel="0" collapsed="false">
      <c r="A45" s="25" t="s">
        <v>219</v>
      </c>
      <c r="B45" s="27" t="n">
        <f aca="false">B44/B43</f>
        <v>0.4</v>
      </c>
      <c r="C45" s="27"/>
      <c r="D45" s="27"/>
      <c r="E45" s="27"/>
      <c r="F45" s="27"/>
      <c r="G45" s="27"/>
      <c r="H45" s="27"/>
      <c r="I45" s="27"/>
    </row>
    <row r="46" customFormat="false" ht="91" hidden="false" customHeight="true" outlineLevel="0" collapsed="false">
      <c r="A46" s="25" t="s">
        <v>220</v>
      </c>
      <c r="B46" s="26" t="s">
        <v>221</v>
      </c>
      <c r="C46" s="26"/>
      <c r="D46" s="26"/>
      <c r="E46" s="26"/>
      <c r="F46" s="26"/>
      <c r="G46" s="26"/>
      <c r="H46" s="26"/>
      <c r="I46" s="26"/>
    </row>
    <row r="47" customFormat="false" ht="68.65" hidden="false" customHeight="true" outlineLevel="0" collapsed="false">
      <c r="A47" s="25" t="s">
        <v>222</v>
      </c>
      <c r="B47" s="26" t="s">
        <v>223</v>
      </c>
      <c r="C47" s="26"/>
      <c r="D47" s="26"/>
      <c r="E47" s="26"/>
      <c r="F47" s="26"/>
      <c r="G47" s="26"/>
      <c r="H47" s="26"/>
      <c r="I47" s="26"/>
    </row>
    <row r="48" customFormat="false" ht="46.25" hidden="false" customHeight="true" outlineLevel="0" collapsed="false">
      <c r="A48" s="25" t="s">
        <v>224</v>
      </c>
      <c r="B48" s="26" t="s">
        <v>225</v>
      </c>
      <c r="C48" s="26"/>
      <c r="D48" s="26"/>
      <c r="E48" s="26"/>
      <c r="F48" s="26"/>
      <c r="G48" s="26"/>
      <c r="H48" s="26"/>
      <c r="I48" s="26"/>
    </row>
    <row r="49" customFormat="false" ht="35.05" hidden="false" customHeight="true" outlineLevel="0" collapsed="false">
      <c r="A49" s="25" t="s">
        <v>226</v>
      </c>
      <c r="B49" s="26" t="s">
        <v>227</v>
      </c>
      <c r="C49" s="26"/>
      <c r="D49" s="26"/>
      <c r="E49" s="26"/>
      <c r="F49" s="26"/>
      <c r="G49" s="26"/>
      <c r="H49" s="26"/>
      <c r="I49" s="26"/>
    </row>
    <row r="51" customFormat="false" ht="15" hidden="false" customHeight="false" outlineLevel="0" collapsed="false">
      <c r="A51" s="8" t="s">
        <v>228</v>
      </c>
      <c r="B51" s="8"/>
      <c r="C51" s="8"/>
      <c r="D51" s="8"/>
      <c r="E51" s="8"/>
      <c r="F51" s="8"/>
      <c r="G51" s="8"/>
      <c r="H51" s="8"/>
      <c r="I51" s="8"/>
    </row>
  </sheetData>
  <mergeCells count="10">
    <mergeCell ref="A1:I1"/>
    <mergeCell ref="A2:I2"/>
    <mergeCell ref="B43:I43"/>
    <mergeCell ref="B44:I44"/>
    <mergeCell ref="B45:I45"/>
    <mergeCell ref="B46:I46"/>
    <mergeCell ref="B47:I47"/>
    <mergeCell ref="B48:I48"/>
    <mergeCell ref="B49:I49"/>
    <mergeCell ref="A51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2026-08-04T18:10:05Z</dcterms:created>
  <dc:creator>openpyxl</dc:creator>
  <dc:description/>
  <dc:language>en-US</dc:language>
  <cp:lastModifiedBy/>
  <dcterms:modified xsi:type="dcterms:W3CDTF">2026-08-04T18:10:21Z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