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wap Isolation" sheetId="2" state="visible" r:id="rId4"/>
    <sheet name="Addition Flips &amp; Gating Fix" sheetId="3" state="visible" r:id="rId5"/>
    <sheet name="MSE by Domain (Addition Impact)" sheetId="4" state="visible" r:id="rId6"/>
    <sheet name="Multi-Seed Stability" sheetId="5" state="visible" r:id="rId7"/>
    <sheet name="Capacity Ablation" sheetId="6" state="visible" r:id="rId8"/>
    <sheet name="Multi-Dimension Compounding" sheetId="7" state="visible" r:id="rId9"/>
    <sheet name="Real Text Validation" sheetId="8" state="visible" r:id="rId10"/>
    <sheet name="Printer Prototype (Calibration)" sheetId="9" state="visible" r:id="rId11"/>
    <sheet name="Boundary Solutions Comparis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<sst xmlns="http://schemas.openxmlformats.org/spreadsheetml/2006/main" count="184" uniqueCount="138">
  <si>
    <t xml:space="preserve">Profile-Routed MoE -- Performance Data Summary</t>
  </si>
  <si>
    <t xml:space="preserve">Fresh canonical run, all 5 reproduction scripts. See TECHNICAL.md for full context, formulas, and proofs. Exact figures vary run-to-run for multi-stage pipelines (see TECHNICAL.md section 12) -- qualitative findings are the reproducible claim.</t>
  </si>
  <si>
    <t xml:space="preserve">Script</t>
  </si>
  <si>
    <t xml:space="preserve">Sheet(s)</t>
  </si>
  <si>
    <t xml:space="preserve">Headline finding</t>
  </si>
  <si>
    <t xml:space="preserve">Reproduces exactly every run?</t>
  </si>
  <si>
    <t xml:space="preserve">addition_isolation_suite.py</t>
  </si>
  <si>
    <t xml:space="preserve">Swap Isolation, Addition Flips, MSE by Domain, Multi-Seed Stability</t>
  </si>
  <si>
    <t xml:space="preserve">Swap isolation: 0.00% collateral change on untouched domains. Addition: 4 flips found, gating fix restores 3/4.</t>
  </si>
  <si>
    <t xml:space="preserve">No -- pattern reproduces, exact figures vary</t>
  </si>
  <si>
    <t xml:space="preserve">capacity_ablation.py</t>
  </si>
  <si>
    <t xml:space="preserve">Capacity Ablation</t>
  </si>
  <si>
    <t xml:space="preserve">326x more gate parameters: no improvement on genuinely ambiguous cases (63.6% vs 62.5% accuracy). Bayes-error, not capacity-bound.</t>
  </si>
  <si>
    <t xml:space="preserve">Yes -- exact to the decimal</t>
  </si>
  <si>
    <t xml:space="preserve">multi_dimension_compounding.py</t>
  </si>
  <si>
    <t xml:space="preserve">Multi-Dimension Compounding</t>
  </si>
  <si>
    <t xml:space="preserve">3 simultaneous domain additions at 1% FPR each compound to 3.00% aggregate; Bonferroni correction restores 1.01%.</t>
  </si>
  <si>
    <t xml:space="preserve">Yes -- compounding % exact; recall figures vary slightly</t>
  </si>
  <si>
    <t xml:space="preserve">text_validation.py</t>
  </si>
  <si>
    <t xml:space="preserve">Real Text Validation, Printer Prototype</t>
  </si>
  <si>
    <t xml:space="preserve">Addition-flip mechanism replicates on real text (6 flips, concentrated on boundary prompts). Systematic calibration-data generation fixes a degenerate threshold.</t>
  </si>
  <si>
    <t xml:space="preserve">Part 1 varies; Part 2 exact to the decimal</t>
  </si>
  <si>
    <t xml:space="preserve">boundary_solutions.py</t>
  </si>
  <si>
    <t xml:space="preserve">Boundary Solutions Comparison</t>
  </si>
  <si>
    <t xml:space="preserve">Of 4 mitigations tested, only the gated one-vs-rest fix (D) changes which expert wins top-1; fixes 2 of 3 flips.</t>
  </si>
  <si>
    <t xml:space="preserve">Swap Isolation (addition_isolation_suite.py, section_2_swap_isolation)</t>
  </si>
  <si>
    <t xml:space="preserve">Expert_code is swapped for a deliberately different (undertrained) alternative. Domains not swapped should show ~0% change.</t>
  </si>
  <si>
    <t xml:space="preserve">Domain</t>
  </si>
  <si>
    <t xml:space="preserve">MSE before</t>
  </si>
  <si>
    <t xml:space="preserve">MSE after</t>
  </si>
  <si>
    <t xml:space="preserve">% change</t>
  </si>
  <si>
    <t xml:space="preserve">code</t>
  </si>
  <si>
    <t xml:space="preserve">creative</t>
  </si>
  <si>
    <t xml:space="preserve">math</t>
  </si>
  <si>
    <t xml:space="preserve">reasoning</t>
  </si>
  <si>
    <t xml:space="preserve">Only the swapped domain (code) changes materially. The other three show exactly 0.00% -- the isolation property.</t>
  </si>
  <si>
    <t xml:space="preserve">Addition Flips + Gated Fix (addition_isolation_suite.py, section_3_addition_and_gating)</t>
  </si>
  <si>
    <t xml:space="preserve">Gate threshold calibrated at the 99th percentile on 8,000 held-out base-domain points. 'Gated' = law-detector score cleared the threshold.</t>
  </si>
  <si>
    <t xml:space="preserve">Sample (domain#id)</t>
  </si>
  <si>
    <t xml:space="preserve">Law detector score</t>
  </si>
  <si>
    <t xml:space="preserve">Gated?</t>
  </si>
  <si>
    <t xml:space="preserve">Result after gating</t>
  </si>
  <si>
    <t xml:space="preserve">Fixed?</t>
  </si>
  <si>
    <t xml:space="preserve">creative#134</t>
  </si>
  <si>
    <t xml:space="preserve">no</t>
  </si>
  <si>
    <t xml:space="preserve">Expert_creative (correct)</t>
  </si>
  <si>
    <t xml:space="preserve">FIXED</t>
  </si>
  <si>
    <t xml:space="preserve">math#34</t>
  </si>
  <si>
    <t xml:space="preserve">Expert_math (correct)</t>
  </si>
  <si>
    <t xml:space="preserve">math#36</t>
  </si>
  <si>
    <t xml:space="preserve">math#108</t>
  </si>
  <si>
    <t xml:space="preserve">yes</t>
  </si>
  <si>
    <t xml:space="preserve">Expert_law (incorrect)</t>
  </si>
  <si>
    <t xml:space="preserve">still wrong</t>
  </si>
  <si>
    <t xml:space="preserve">Fixed</t>
  </si>
  <si>
    <t xml:space="preserve">Genuine law recall at this threshold</t>
  </si>
  <si>
    <t xml:space="preserve">math#108's score (0.794) clears the calibrated threshold -- an honest, well-calibrated detector genuinely cannot separate it from a real law input without sacrificing recall elsewhere (see TECHNICAL.md 4.5 corollary).</t>
  </si>
  <si>
    <t xml:space="preserve">Aggregate MSE by Domain, Before vs After Addition</t>
  </si>
  <si>
    <t xml:space="preserve">Frozen v1 (safe) routing vs jointly-retrained v2 (broken) routing, across each domain's full test set. Generated fresh by this script -- no external file needed.</t>
  </si>
  <si>
    <t xml:space="preserve">MSE before (v1, frozen)</t>
  </si>
  <si>
    <t xml:space="preserve">MSE after (v2, jointly-retrained)</t>
  </si>
  <si>
    <t xml:space="preserve">Two of four untouched domains show real collateral damage (creative, math); the other two show none in this run -- the failure concentrates on specific poorly-resolved regions, not uniform degradation.</t>
  </si>
  <si>
    <t xml:space="preserve">Flip Stability Across 5 Independent Training Seeds</t>
  </si>
  <si>
    <t xml:space="preserve">Same data distributions, 5 different model-initialization seeds. A stable core recurs regardless of seed; a shifting penumbra does not.</t>
  </si>
  <si>
    <t xml:space="preserve">Flip point (domain#id)</t>
  </si>
  <si>
    <t xml:space="preserve">Seeds it appears in (of 5)</t>
  </si>
  <si>
    <t xml:space="preserve">Category</t>
  </si>
  <si>
    <t xml:space="preserve">stable core</t>
  </si>
  <si>
    <t xml:space="preserve">code#115</t>
  </si>
  <si>
    <t xml:space="preserve">reasoning#146</t>
  </si>
  <si>
    <t xml:space="preserve">shifting penumbra</t>
  </si>
  <si>
    <t xml:space="preserve">reasoning#149</t>
  </si>
  <si>
    <t xml:space="preserve">code#82</t>
  </si>
  <si>
    <t xml:space="preserve">code#70</t>
  </si>
  <si>
    <t xml:space="preserve">5 of 9 unique flip points recur in every single seed -- tied to a specific, consistently poorly-resolved region, not training noise.</t>
  </si>
  <si>
    <t xml:space="preserve">Does More Gate Capacity Resolve Genuinely Ambiguous Cases? (capacity_ablation.py)</t>
  </si>
  <si>
    <t xml:space="preserve">33-parameter gate vs 10,753-parameter gate (326x), identical training data. Reproduces exactly, every run.</t>
  </si>
  <si>
    <t xml:space="preserve">Metric</t>
  </si>
  <si>
    <t xml:space="preserve">Small gate (33 params)</t>
  </si>
  <si>
    <t xml:space="preserve">Large gate (10,753 params)</t>
  </si>
  <si>
    <t xml:space="preserve">Overall AUC</t>
  </si>
  <si>
    <t xml:space="preserve">Accuracy on ambiguous subset (2.53% of test set)</t>
  </si>
  <si>
    <t xml:space="preserve">Overall accuracy</t>
  </si>
  <si>
    <t xml:space="preserve">Cases: large fixes small's error</t>
  </si>
  <si>
    <t xml:space="preserve">Cases: small fixes large's error</t>
  </si>
  <si>
    <t xml:space="preserve">Ratio (near 1.0 = no systematic advantage)</t>
  </si>
  <si>
    <t xml:space="preserve">326x more parameters buys no measurable improvement on the hard cases -- the ambiguity is a Bayes-error property of the data, not a capacity bottleneck.</t>
  </si>
  <si>
    <t xml:space="preserve">Adding 3 Domains Simultaneously (multi_dimension_compounding.py)</t>
  </si>
  <si>
    <t xml:space="preserve">Each gate independently calibrated to 1% FPR on old-domain data. Compounding % reproduces exactly every run; recall figures vary slightly.</t>
  </si>
  <si>
    <t xml:space="preserve">Field</t>
  </si>
  <si>
    <t xml:space="preserve">Individual FPR (uncorrected)</t>
  </si>
  <si>
    <t xml:space="preserve">Recall (uncorrected)</t>
  </si>
  <si>
    <t xml:space="preserve">Recall (Bonferroni-corrected)</t>
  </si>
  <si>
    <t xml:space="preserve">finance</t>
  </si>
  <si>
    <t xml:space="preserve">law</t>
  </si>
  <si>
    <t xml:space="preserve">medicine</t>
  </si>
  <si>
    <t xml:space="preserve">Aggregate FPR, uncorrected (&gt;=1 gate fires)</t>
  </si>
  <si>
    <t xml:space="preserve">Naive independence prediction (1-(1-0.01)^3)</t>
  </si>
  <si>
    <t xml:space="preserve">Aggregate FPR, Bonferroni-corrected</t>
  </si>
  <si>
    <t xml:space="preserve">Target aggregate FPR</t>
  </si>
  <si>
    <t xml:space="preserve">3 independent gates at 1% each compound to 3.00% aggregate (matches the naive independence prediction almost exactly) -- a multiple-comparisons problem, not a calibration bug. Bonferroni correction restores the target but costs real recall.</t>
  </si>
  <si>
    <t xml:space="preserve">Does the Flip Mechanism Replicate on Real Text? (text_validation.py, part 1)</t>
  </si>
  <si>
    <t xml:space="preserve">TF-IDF+SVD embeddings (lexical, not full semantic -- no network access to a trained embedding model). 131 base-domain test prompts, 14 deliberately cross-domain.</t>
  </si>
  <si>
    <t xml:space="preserve">True domain</t>
  </si>
  <si>
    <t xml:space="preserve">Base profiler picked</t>
  </si>
  <si>
    <t xml:space="preserve">Joint (broken) profiler picked</t>
  </si>
  <si>
    <t xml:space="preserve">Prompt (truncated)</t>
  </si>
  <si>
    <t xml:space="preserve">draft terms of service clauses governing API usage limits for this app</t>
  </si>
  <si>
    <t xml:space="preserve">assess whether this code snippet infringes on a competitor's registered...</t>
  </si>
  <si>
    <t xml:space="preserve">calculate the statute of limitations deadline given the filing date and...</t>
  </si>
  <si>
    <t xml:space="preserve">derive the amortization schedule required under the loan agreement's...</t>
  </si>
  <si>
    <t xml:space="preserve">compose a courtroom drama scene where the plaintiff's testimony...</t>
  </si>
  <si>
    <t xml:space="preserve">assess if the contract's ambiguous clause creates a valid basis for...</t>
  </si>
  <si>
    <t xml:space="preserve">6 flips, 100% on prompts that are genuinely cross-domain by construction; 0% on the 117 ordinary prompts. Every flip listed here involves law-adjacent vocabulary in a code/math/creative/reasoning prompt.</t>
  </si>
  <si>
    <t xml:space="preserve">Systematic vs Hand-Picked Boundary Calibration (text_validation.py, part 2)</t>
  </si>
  <si>
    <t xml:space="preserve">Reproduces exactly, every run. Compares calibrating a gate threshold on clean-only data vs clean+systematically-generated boundary data.</t>
  </si>
  <si>
    <t xml:space="preserve">Clean-only calibration</t>
  </si>
  <si>
    <t xml:space="preserve">Printed (clean + systematic boundary)</t>
  </si>
  <si>
    <t xml:space="preserve">Calibrated threshold</t>
  </si>
  <si>
    <t xml:space="preserve">Genuine law recall</t>
  </si>
  <si>
    <t xml:space="preserve">False-capture on fresh unambiguous data</t>
  </si>
  <si>
    <t xml:space="preserve">300 hand-written calibration sentences produced a degenerate threshold (fires on almost everything). ~600 systematically-generated boundary examples fixed it, at a real cost: 8 points of law recall.</t>
  </si>
  <si>
    <t xml:space="preserve">Four Mitigations, Head-to-Head (boundary_solutions.py)</t>
  </si>
  <si>
    <t xml:space="preserve">A/B/C are the original mitigations; D (gated one-vs-rest) is new, added this review pass. Same 3 boundary samples, same harness.</t>
  </si>
  <si>
    <t xml:space="preserve">Solution</t>
  </si>
  <si>
    <t xml:space="preserve">Mean error</t>
  </si>
  <si>
    <t xml:space="preserve">% vs baseline</t>
  </si>
  <si>
    <t xml:space="preserve">Samples improved (of 3)</t>
  </si>
  <si>
    <t xml:space="preserve">Changes WHICH expert wins top-1?</t>
  </si>
  <si>
    <t xml:space="preserve">Baseline (broken)</t>
  </si>
  <si>
    <t xml:space="preserve">--</t>
  </si>
  <si>
    <t xml:space="preserve">A: Local Confidence</t>
  </si>
  <si>
    <t xml:space="preserve">No</t>
  </si>
  <si>
    <t xml:space="preserve">B: Adaptive tau</t>
  </si>
  <si>
    <t xml:space="preserve">C: Variance Penalty</t>
  </si>
  <si>
    <t xml:space="preserve">D: Gated One-vs-Rest</t>
  </si>
  <si>
    <t xml:space="preserve">Yes -- fixes 2 of 3</t>
  </si>
  <si>
    <t xml:space="preserve">Only D operates before the broken profile is computed (frozen base + independently-calibrated gate), so it's the only one that can re-select the correct expert rather than just reweight around the wrong one.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</si>
</sst>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"/>
    <numFmt numFmtId="166" formatCode="\+0.00%;\-0.00%"/>
    <numFmt numFmtId="167" formatCode="0.0%"/>
    <numFmt numFmtId="168" formatCode="0.000%"/>
    <numFmt numFmtId="169" formatCode="0.00"/>
    <numFmt numFmtId="170" formatCode="0.00%"/>
    <numFmt numFmtId="171" formatCode="0.0000"/>
    <numFmt numFmtId="172" formatCode="\+0.0%;\-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MSE Before vs After Swap,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'Swap Isolation'!B4</c:f>
              <c:strCache>
                <c:ptCount val="1"/>
                <c:pt idx="0">
                  <c:v>MSE before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'Swap Isolation'!$A$5:$A$8</c:f>
              <c:strCache>
                <c:ptCount val="4"/>
                <c:pt idx="0">
                  <c:v>code</c:v>
                </c:pt>
                <c:pt idx="1">
                  <c:v>creative</c:v>
                </c:pt>
                <c:pt idx="2">
                  <c:v>math</c:v>
                </c:pt>
                <c:pt idx="3">
                  <c:v>reasoning</c:v>
                </c:pt>
              </c:strCache>
            </c:strRef>
          </c:cat>
          <c:val>
            <c:numRef>
              <c:f>'Swap Isolation'!$B$5:$B$8</c:f>
              <c:numCache>
                <c:formatCode>0.00000</c:formatCode>
                <c:ptCount val="4"/>
                <c:pt idx="0">
                  <c:v>0.19995</c:v>
                </c:pt>
                <c:pt idx="1">
                  <c:v>0.03786</c:v>
                </c:pt>
                <c:pt idx="2">
                  <c:v>0.08639</c:v>
                </c:pt>
                <c:pt idx="3">
                  <c:v>0.01046</c:v>
                </c:pt>
              </c:numCache>
            </c:numRef>
          </c:val>
        </c:ser>
        <c:ser>
          <c:idx val="1"/>
          <c:order val="1"/>
          <c:tx>
            <c:strRef>
              <c:f>'Swap Isolation'!C4</c:f>
              <c:strCache>
                <c:ptCount val="1"/>
                <c:pt idx="0">
                  <c:v>MSE after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'Swap Isolation'!$A$5:$A$8</c:f>
              <c:strCache>
                <c:ptCount val="4"/>
                <c:pt idx="0">
                  <c:v>code</c:v>
                </c:pt>
                <c:pt idx="1">
                  <c:v>creative</c:v>
                </c:pt>
                <c:pt idx="2">
                  <c:v>math</c:v>
                </c:pt>
                <c:pt idx="3">
                  <c:v>reasoning</c:v>
                </c:pt>
              </c:strCache>
            </c:strRef>
          </c:cat>
          <c:val>
            <c:numRef>
              <c:f>'Swap Isolation'!$C$5:$C$8</c:f>
              <c:numCache>
                <c:formatCode>0.00000</c:formatCode>
                <c:ptCount val="4"/>
                <c:pt idx="0">
                  <c:v>1.78403</c:v>
                </c:pt>
                <c:pt idx="1">
                  <c:v>0.03786</c:v>
                </c:pt>
                <c:pt idx="2">
                  <c:v>0.08639</c:v>
                </c:pt>
                <c:pt idx="3">
                  <c:v>0.01046</c:v>
                </c:pt>
              </c:numCache>
            </c:numRef>
          </c:val>
        </c:ser>
        <c:gapWidth val="150"/>
        <c:overlap val="0"/>
        <c:axId val="71872292"/>
        <c:axId val="38140310"/>
      </c:barChart>
      <c:catAx>
        <c:axId val="71872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40310"/>
        <c:crosses val="autoZero"/>
        <c:auto val="1"/>
        <c:lblAlgn val="ctr"/>
        <c:lblOffset val="100"/>
        <c:noMultiLvlLbl val="0"/>
      </c:catAx>
      <c:valAx>
        <c:axId val="38140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2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MSE Before vs After Adding a New Domain,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'MSE by Domain (Addition Impact)'!B4</c:f>
              <c:strCache>
                <c:ptCount val="1"/>
                <c:pt idx="0">
                  <c:v>MSE before (v1, frozen)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'MSE by Domain (Addition Impact)'!$A$5:$A$8</c:f>
              <c:strCache>
                <c:ptCount val="4"/>
                <c:pt idx="0">
                  <c:v>code</c:v>
                </c:pt>
                <c:pt idx="1">
                  <c:v>creative</c:v>
                </c:pt>
                <c:pt idx="2">
                  <c:v>math</c:v>
                </c:pt>
                <c:pt idx="3">
                  <c:v>reasoning</c:v>
                </c:pt>
              </c:strCache>
            </c:strRef>
          </c:cat>
          <c:val>
            <c:numRef>
              <c:f>'MSE by Domain (Addition Impact)'!$B$5:$B$8</c:f>
              <c:numCache>
                <c:formatCode>0.00000</c:formatCode>
                <c:ptCount val="4"/>
                <c:pt idx="0">
                  <c:v>0.76979</c:v>
                </c:pt>
                <c:pt idx="1">
                  <c:v>0.03786</c:v>
                </c:pt>
                <c:pt idx="2">
                  <c:v>0.08639</c:v>
                </c:pt>
                <c:pt idx="3">
                  <c:v>0.48072</c:v>
                </c:pt>
              </c:numCache>
            </c:numRef>
          </c:val>
        </c:ser>
        <c:ser>
          <c:idx val="1"/>
          <c:order val="1"/>
          <c:tx>
            <c:strRef>
              <c:f>'MSE by Domain (Addition Impact)'!C4</c:f>
              <c:strCache>
                <c:ptCount val="1"/>
                <c:pt idx="0">
                  <c:v>MSE after (v2, jointly-retrained)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'MSE by Domain (Addition Impact)'!$A$5:$A$8</c:f>
              <c:strCache>
                <c:ptCount val="4"/>
                <c:pt idx="0">
                  <c:v>code</c:v>
                </c:pt>
                <c:pt idx="1">
                  <c:v>creative</c:v>
                </c:pt>
                <c:pt idx="2">
                  <c:v>math</c:v>
                </c:pt>
                <c:pt idx="3">
                  <c:v>reasoning</c:v>
                </c:pt>
              </c:strCache>
            </c:strRef>
          </c:cat>
          <c:val>
            <c:numRef>
              <c:f>'MSE by Domain (Addition Impact)'!$C$5:$C$8</c:f>
              <c:numCache>
                <c:formatCode>0.00000</c:formatCode>
                <c:ptCount val="4"/>
                <c:pt idx="0">
                  <c:v>0.76979</c:v>
                </c:pt>
                <c:pt idx="1">
                  <c:v>0.06567</c:v>
                </c:pt>
                <c:pt idx="2">
                  <c:v>0.26509</c:v>
                </c:pt>
                <c:pt idx="3">
                  <c:v>0.48072</c:v>
                </c:pt>
              </c:numCache>
            </c:numRef>
          </c:val>
        </c:ser>
        <c:gapWidth val="150"/>
        <c:overlap val="0"/>
        <c:axId val="50007309"/>
        <c:axId val="13569694"/>
      </c:barChart>
      <c:catAx>
        <c:axId val="50007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69694"/>
        <c:crosses val="autoZero"/>
        <c:auto val="1"/>
        <c:lblAlgn val="ctr"/>
        <c:lblOffset val="100"/>
        <c:noMultiLvlLbl val="0"/>
      </c:catAx>
      <c:valAx>
        <c:axId val="13569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7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Flip Frequency Across 5 Seeds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'Multi-Seed Stability'!B4</c:f>
              <c:strCache>
                <c:ptCount val="1"/>
                <c:pt idx="0">
                  <c:v>Seeds it appears in (of 5)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'Multi-Seed Stability'!$A$5:$A$13</c:f>
              <c:strCache>
                <c:ptCount val="9"/>
                <c:pt idx="0">
                  <c:v>math#108</c:v>
                </c:pt>
                <c:pt idx="1">
                  <c:v>math#34</c:v>
                </c:pt>
                <c:pt idx="2">
                  <c:v>code#115</c:v>
                </c:pt>
                <c:pt idx="3">
                  <c:v>creative#134</c:v>
                </c:pt>
                <c:pt idx="4">
                  <c:v>reasoning#146</c:v>
                </c:pt>
                <c:pt idx="5">
                  <c:v>math#36</c:v>
                </c:pt>
                <c:pt idx="6">
                  <c:v>reasoning#149</c:v>
                </c:pt>
                <c:pt idx="7">
                  <c:v>code#82</c:v>
                </c:pt>
                <c:pt idx="8">
                  <c:v>code#70</c:v>
                </c:pt>
              </c:strCache>
            </c:strRef>
          </c:cat>
          <c:val>
            <c:numRef>
              <c:f>'Multi-Seed Stability'!$B$5:$B$13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gapWidth val="150"/>
        <c:overlap val="0"/>
        <c:axId val="57505704"/>
        <c:axId val="86075451"/>
      </c:barChart>
      <c:catAx>
        <c:axId val="5750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75451"/>
        <c:crosses val="autoZero"/>
        <c:auto val="1"/>
        <c:lblAlgn val="ctr"/>
        <c:lblOffset val="100"/>
        <c:noMultiLvlLbl val="0"/>
      </c:catAx>
      <c:valAx>
        <c:axId val="86075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Seeds (of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05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Small vs Large Gate: No Systematic Advantage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'Capacity Ablation'!B4</c:f>
              <c:strCache>
                <c:ptCount val="1"/>
                <c:pt idx="0">
                  <c:v>Small gate (33 params)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'Capacity Ablation'!$A$5:$A$7</c:f>
              <c:strCache>
                <c:ptCount val="3"/>
                <c:pt idx="0">
                  <c:v>Overall AUC</c:v>
                </c:pt>
                <c:pt idx="1">
                  <c:v>Accuracy on ambiguous subset (2.53% of test set)</c:v>
                </c:pt>
                <c:pt idx="2">
                  <c:v>Overall accuracy</c:v>
                </c:pt>
              </c:strCache>
            </c:strRef>
          </c:cat>
          <c:val>
            <c:numRef>
              <c:f>'Capacity Ablation'!$B$5:$B$7</c:f>
              <c:numCache>
                <c:formatCode>0.00000</c:formatCode>
                <c:ptCount val="3"/>
                <c:pt idx="0">
                  <c:v>0.99604</c:v>
                </c:pt>
                <c:pt idx="1">
                  <c:v>0.636</c:v>
                </c:pt>
                <c:pt idx="2">
                  <c:v>0.9761</c:v>
                </c:pt>
              </c:numCache>
            </c:numRef>
          </c:val>
        </c:ser>
        <c:ser>
          <c:idx val="1"/>
          <c:order val="1"/>
          <c:tx>
            <c:strRef>
              <c:f>'Capacity Ablation'!C4</c:f>
              <c:strCache>
                <c:ptCount val="1"/>
                <c:pt idx="0">
                  <c:v>Large gate (10,753 params)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'Capacity Ablation'!$A$5:$A$7</c:f>
              <c:strCache>
                <c:ptCount val="3"/>
                <c:pt idx="0">
                  <c:v>Overall AUC</c:v>
                </c:pt>
                <c:pt idx="1">
                  <c:v>Accuracy on ambiguous subset (2.53% of test set)</c:v>
                </c:pt>
                <c:pt idx="2">
                  <c:v>Overall accuracy</c:v>
                </c:pt>
              </c:strCache>
            </c:strRef>
          </c:cat>
          <c:val>
            <c:numRef>
              <c:f>'Capacity Ablation'!$C$5:$C$7</c:f>
              <c:numCache>
                <c:formatCode>0.00000</c:formatCode>
                <c:ptCount val="3"/>
                <c:pt idx="0">
                  <c:v>0.99614</c:v>
                </c:pt>
                <c:pt idx="1">
                  <c:v>0.625</c:v>
                </c:pt>
                <c:pt idx="2">
                  <c:v>0.9757</c:v>
                </c:pt>
              </c:numCache>
            </c:numRef>
          </c:val>
        </c:ser>
        <c:gapWidth val="150"/>
        <c:overlap val="0"/>
        <c:axId val="85196171"/>
        <c:axId val="25159430"/>
      </c:barChart>
      <c:catAx>
        <c:axId val="85196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59430"/>
        <c:crosses val="autoZero"/>
        <c:auto val="1"/>
        <c:lblAlgn val="ctr"/>
        <c:lblOffset val="100"/>
        <c:noMultiLvlLbl val="0"/>
      </c:catAx>
      <c:valAx>
        <c:axId val="25159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96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Recall by Field: Uncorrected vs Bonferroni-Corrected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'Multi-Dimension Compounding'!C4</c:f>
              <c:strCache>
                <c:ptCount val="1"/>
                <c:pt idx="0">
                  <c:v>Recall (uncorrected)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'Multi-Dimension Compounding'!$A$5:$A$7</c:f>
              <c:strCache>
                <c:ptCount val="3"/>
                <c:pt idx="0">
                  <c:v>finance</c:v>
                </c:pt>
                <c:pt idx="1">
                  <c:v>law</c:v>
                </c:pt>
                <c:pt idx="2">
                  <c:v>medicine</c:v>
                </c:pt>
              </c:strCache>
            </c:strRef>
          </c:cat>
          <c:val>
            <c:numRef>
              <c:f>'Multi-Dimension Compounding'!$C$5:$C$7</c:f>
              <c:numCache>
                <c:formatCode>0.0%</c:formatCode>
                <c:ptCount val="3"/>
                <c:pt idx="0">
                  <c:v>0.7</c:v>
                </c:pt>
                <c:pt idx="1">
                  <c:v>0.88</c:v>
                </c:pt>
                <c:pt idx="2">
                  <c:v>0.613</c:v>
                </c:pt>
              </c:numCache>
            </c:numRef>
          </c:val>
        </c:ser>
        <c:ser>
          <c:idx val="1"/>
          <c:order val="1"/>
          <c:tx>
            <c:strRef>
              <c:f>'Multi-Dimension Compounding'!D4</c:f>
              <c:strCache>
                <c:ptCount val="1"/>
                <c:pt idx="0">
                  <c:v>Recall (Bonferroni-corrected)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'Multi-Dimension Compounding'!$A$5:$A$7</c:f>
              <c:strCache>
                <c:ptCount val="3"/>
                <c:pt idx="0">
                  <c:v>finance</c:v>
                </c:pt>
                <c:pt idx="1">
                  <c:v>law</c:v>
                </c:pt>
                <c:pt idx="2">
                  <c:v>medicine</c:v>
                </c:pt>
              </c:strCache>
            </c:strRef>
          </c:cat>
          <c:val>
            <c:numRef>
              <c:f>'Multi-Dimension Compounding'!$D$5:$D$7</c:f>
              <c:numCache>
                <c:formatCode>0.0%</c:formatCode>
                <c:ptCount val="3"/>
                <c:pt idx="0">
                  <c:v>0.507</c:v>
                </c:pt>
                <c:pt idx="1">
                  <c:v>0.8</c:v>
                </c:pt>
                <c:pt idx="2">
                  <c:v>0.447</c:v>
                </c:pt>
              </c:numCache>
            </c:numRef>
          </c:val>
        </c:ser>
        <c:gapWidth val="150"/>
        <c:overlap val="0"/>
        <c:axId val="516792"/>
        <c:axId val="5138098"/>
      </c:barChart>
      <c:catAx>
        <c:axId val="51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8098"/>
        <c:crosses val="autoZero"/>
        <c:auto val="1"/>
        <c:lblAlgn val="ctr"/>
        <c:lblOffset val="100"/>
        <c:noMultiLvlLbl val="0"/>
      </c:catAx>
      <c:valAx>
        <c:axId val="5138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Recall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Aggregate False-Capture Rate: Compounding vs Correction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'Multi-Dimension Compounding'!B8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'Multi-Dimension Compounding'!$A$9:$A$12</c:f>
              <c:strCache>
                <c:ptCount val="4"/>
                <c:pt idx="0">
                  <c:v>Aggregate FPR, uncorrected (&gt;=1 gate fires)</c:v>
                </c:pt>
                <c:pt idx="1">
                  <c:v>Naive independence prediction (1-(1-0.01)^3)</c:v>
                </c:pt>
                <c:pt idx="2">
                  <c:v>Aggregate FPR, Bonferroni-corrected</c:v>
                </c:pt>
                <c:pt idx="3">
                  <c:v>Target aggregate FPR</c:v>
                </c:pt>
              </c:strCache>
            </c:strRef>
          </c:cat>
          <c:val>
            <c:numRef>
              <c:f>'Multi-Dimension Compounding'!$B$9:$B$12</c:f>
              <c:numCache>
                <c:formatCode>0.00%</c:formatCode>
                <c:ptCount val="4"/>
                <c:pt idx="0">
                  <c:v>0.03</c:v>
                </c:pt>
                <c:pt idx="1">
                  <c:v>0.029701</c:v>
                </c:pt>
                <c:pt idx="2">
                  <c:v>0.0101</c:v>
                </c:pt>
                <c:pt idx="3">
                  <c:v>0.01</c:v>
                </c:pt>
              </c:numCache>
            </c:numRef>
          </c:val>
        </c:ser>
        <c:gapWidth val="150"/>
        <c:overlap val="0"/>
        <c:axId val="79804723"/>
        <c:axId val="74805373"/>
      </c:barChart>
      <c:catAx>
        <c:axId val="79804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05373"/>
        <c:crosses val="autoZero"/>
        <c:auto val="1"/>
        <c:lblAlgn val="ctr"/>
        <c:lblOffset val="100"/>
        <c:noMultiLvlLbl val="0"/>
      </c:catAx>
      <c:valAx>
        <c:axId val="74805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4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Clean-Only vs Systematic 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'Printer Prototype (Calibration)'!B4</c:f>
              <c:strCache>
                <c:ptCount val="1"/>
                <c:pt idx="0">
                  <c:v>Clean-only calibration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'Printer Prototype (Calibration)'!$A$5:$A$7</c:f>
              <c:strCache>
                <c:ptCount val="3"/>
                <c:pt idx="0">
                  <c:v>Calibrated threshold</c:v>
                </c:pt>
                <c:pt idx="1">
                  <c:v>Genuine law recall</c:v>
                </c:pt>
                <c:pt idx="2">
                  <c:v>False-capture on fresh unambiguous data</c:v>
                </c:pt>
              </c:strCache>
            </c:strRef>
          </c:cat>
          <c:val>
            <c:numRef>
              <c:f>'Printer Prototype (Calibration)'!$B$5:$B$7</c:f>
              <c:numCache>
                <c:formatCode>0.0000</c:formatCode>
                <c:ptCount val="3"/>
                <c:pt idx="0">
                  <c:v>0.0031</c:v>
                </c:pt>
                <c:pt idx="1">
                  <c:v>1</c:v>
                </c:pt>
                <c:pt idx="2">
                  <c:v>0.016</c:v>
                </c:pt>
              </c:numCache>
            </c:numRef>
          </c:val>
        </c:ser>
        <c:ser>
          <c:idx val="1"/>
          <c:order val="1"/>
          <c:tx>
            <c:strRef>
              <c:f>'Printer Prototype (Calibration)'!C4</c:f>
              <c:strCache>
                <c:ptCount val="1"/>
                <c:pt idx="0">
                  <c:v>Printed (clean + systematic boundary)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'Printer Prototype (Calibration)'!$A$5:$A$7</c:f>
              <c:strCache>
                <c:ptCount val="3"/>
                <c:pt idx="0">
                  <c:v>Calibrated threshold</c:v>
                </c:pt>
                <c:pt idx="1">
                  <c:v>Genuine law recall</c:v>
                </c:pt>
                <c:pt idx="2">
                  <c:v>False-capture on fresh unambiguous data</c:v>
                </c:pt>
              </c:strCache>
            </c:strRef>
          </c:cat>
          <c:val>
            <c:numRef>
              <c:f>'Printer Prototype (Calibration)'!$C$5:$C$7</c:f>
              <c:numCache>
                <c:formatCode>0.0000</c:formatCode>
                <c:ptCount val="3"/>
                <c:pt idx="0">
                  <c:v>0.9943</c:v>
                </c:pt>
                <c:pt idx="1">
                  <c:v>0.92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44982086"/>
        <c:axId val="66305643"/>
      </c:barChart>
      <c:catAx>
        <c:axId val="44982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5643"/>
        <c:crosses val="autoZero"/>
        <c:auto val="1"/>
        <c:lblAlgn val="ctr"/>
        <c:lblOffset val="100"/>
        <c:noMultiLvlLbl val="0"/>
      </c:catAx>
      <c:valAx>
        <c:axId val="66305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(0-1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82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Error by Solution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'Boundary Solutions Comparison'!B4</c:f>
              <c:strCache>
                <c:ptCount val="1"/>
                <c:pt idx="0">
                  <c:v>Mean error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'Boundary Solutions Comparison'!$A$5:$A$9</c:f>
              <c:strCache>
                <c:ptCount val="5"/>
                <c:pt idx="0">
                  <c:v>Baseline (broken)</c:v>
                </c:pt>
                <c:pt idx="1">
                  <c:v>A: Local Confidence</c:v>
                </c:pt>
                <c:pt idx="2">
                  <c:v>B: Adaptive tau</c:v>
                </c:pt>
                <c:pt idx="3">
                  <c:v>C: Variance Penalty</c:v>
                </c:pt>
                <c:pt idx="4">
                  <c:v>D: Gated One-vs-Rest</c:v>
                </c:pt>
              </c:strCache>
            </c:strRef>
          </c:cat>
          <c:val>
            <c:numRef>
              <c:f>'Boundary Solutions Comparison'!$B$5:$B$9</c:f>
              <c:numCache>
                <c:formatCode>0.0000</c:formatCode>
                <c:ptCount val="5"/>
                <c:pt idx="0">
                  <c:v>2.1466069276</c:v>
                </c:pt>
                <c:pt idx="1">
                  <c:v>2.1466069244</c:v>
                </c:pt>
                <c:pt idx="2">
                  <c:v>1.4536902334</c:v>
                </c:pt>
                <c:pt idx="3">
                  <c:v>2.1466069292</c:v>
                </c:pt>
                <c:pt idx="4">
                  <c:v>1.3046079307</c:v>
                </c:pt>
              </c:numCache>
            </c:numRef>
          </c:val>
        </c:ser>
        <c:gapWidth val="150"/>
        <c:overlap val="0"/>
        <c:axId val="48775677"/>
        <c:axId val="18239690"/>
      </c:barChart>
      <c:catAx>
        <c:axId val="48775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39690"/>
        <c:crosses val="autoZero"/>
        <c:auto val="1"/>
        <c:lblAlgn val="ctr"/>
        <c:lblOffset val="100"/>
        <c:noMultiLvlLbl val="0"/>
      </c:catAx>
      <c:valAx>
        <c:axId val="18239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error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756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2160</xdr:rowOff>
    </xdr:from>
    <xdr:to>
      <xdr:col>14</xdr:col>
      <xdr:colOff>255960</xdr:colOff>
      <xdr:row>17</xdr:row>
      <xdr:rowOff>24120</xdr:rowOff>
    </xdr:to>
    <xdr:graphicFrame>
      <xdr:nvGraphicFramePr>
        <xdr:cNvPr id="0" name="Chart 1"/>
        <xdr:cNvGraphicFramePr/>
      </xdr:nvGraphicFramePr>
      <xdr:xfrm>
        <a:off x="441756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14</xdr:col>
      <xdr:colOff>255960</xdr:colOff>
      <xdr:row>17</xdr:row>
      <xdr:rowOff>47520</xdr:rowOff>
    </xdr:to>
    <xdr:graphicFrame>
      <xdr:nvGraphicFramePr>
        <xdr:cNvPr id="1" name="Chart 1"/>
        <xdr:cNvGraphicFramePr/>
      </xdr:nvGraphicFramePr>
      <xdr:xfrm>
        <a:off x="582732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13</xdr:col>
      <xdr:colOff>255960</xdr:colOff>
      <xdr:row>17</xdr:row>
      <xdr:rowOff>47520</xdr:rowOff>
    </xdr:to>
    <xdr:graphicFrame>
      <xdr:nvGraphicFramePr>
        <xdr:cNvPr id="2" name="Chart 1"/>
        <xdr:cNvGraphicFramePr/>
      </xdr:nvGraphicFramePr>
      <xdr:xfrm>
        <a:off x="540432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2160</xdr:rowOff>
    </xdr:from>
    <xdr:to>
      <xdr:col>13</xdr:col>
      <xdr:colOff>255960</xdr:colOff>
      <xdr:row>16</xdr:row>
      <xdr:rowOff>64080</xdr:rowOff>
    </xdr:to>
    <xdr:graphicFrame>
      <xdr:nvGraphicFramePr>
        <xdr:cNvPr id="3" name="Chart 1"/>
        <xdr:cNvGraphicFramePr/>
      </xdr:nvGraphicFramePr>
      <xdr:xfrm>
        <a:off x="681408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14</xdr:col>
      <xdr:colOff>255960</xdr:colOff>
      <xdr:row>17</xdr:row>
      <xdr:rowOff>47520</xdr:rowOff>
    </xdr:to>
    <xdr:graphicFrame>
      <xdr:nvGraphicFramePr>
        <xdr:cNvPr id="4" name="Chart 1"/>
        <xdr:cNvGraphicFramePr/>
      </xdr:nvGraphicFramePr>
      <xdr:xfrm>
        <a:off x="822384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25200</xdr:rowOff>
    </xdr:from>
    <xdr:to>
      <xdr:col>14</xdr:col>
      <xdr:colOff>255960</xdr:colOff>
      <xdr:row>33</xdr:row>
      <xdr:rowOff>47520</xdr:rowOff>
    </xdr:to>
    <xdr:graphicFrame>
      <xdr:nvGraphicFramePr>
        <xdr:cNvPr id="5" name="Chart 2"/>
        <xdr:cNvGraphicFramePr/>
      </xdr:nvGraphicFramePr>
      <xdr:xfrm>
        <a:off x="822384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14</xdr:col>
      <xdr:colOff>255960</xdr:colOff>
      <xdr:row>17</xdr:row>
      <xdr:rowOff>47520</xdr:rowOff>
    </xdr:to>
    <xdr:graphicFrame>
      <xdr:nvGraphicFramePr>
        <xdr:cNvPr id="6" name="Chart 1"/>
        <xdr:cNvGraphicFramePr/>
      </xdr:nvGraphicFramePr>
      <xdr:xfrm>
        <a:off x="827136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176040</xdr:rowOff>
    </xdr:from>
    <xdr:to>
      <xdr:col>15</xdr:col>
      <xdr:colOff>256320</xdr:colOff>
      <xdr:row>17</xdr:row>
      <xdr:rowOff>47520</xdr:rowOff>
    </xdr:to>
    <xdr:graphicFrame>
      <xdr:nvGraphicFramePr>
        <xdr:cNvPr id="7" name="Chart 1"/>
        <xdr:cNvGraphicFramePr/>
      </xdr:nvGraphicFramePr>
      <xdr:xfrm>
        <a:off x="808308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28"/>
  </cols>
  <sheetData>
    <row r="1" customFormat="false" ht="16.1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35.0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35.0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23.8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</cols>
  <sheetData>
    <row r="1" customFormat="false" ht="29.85" hidden="false" customHeight="true" outlineLevel="0" collapsed="false">
      <c r="A1" s="1" t="s">
        <v>25</v>
      </c>
      <c r="B1" s="1"/>
      <c r="C1" s="1"/>
      <c r="D1" s="1"/>
    </row>
    <row r="2" customFormat="false" ht="30" hidden="false" customHeight="true" outlineLevel="0" collapsed="false">
      <c r="A2" s="2" t="s">
        <v>26</v>
      </c>
      <c r="B2" s="2"/>
      <c r="C2" s="2"/>
      <c r="D2" s="2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</row>
    <row r="5" customFormat="false" ht="15" hidden="false" customHeight="false" outlineLevel="0" collapsed="false">
      <c r="A5" s="5" t="s">
        <v>31</v>
      </c>
      <c r="B5" s="6" t="n">
        <v>0.19995</v>
      </c>
      <c r="C5" s="6" t="n">
        <v>1.78403</v>
      </c>
      <c r="D5" s="7" t="n">
        <f aca="false">(C5-B5)/B5</f>
        <v>7.92238059514879</v>
      </c>
    </row>
    <row r="6" customFormat="false" ht="15" hidden="false" customHeight="false" outlineLevel="0" collapsed="false">
      <c r="A6" s="5" t="s">
        <v>32</v>
      </c>
      <c r="B6" s="6" t="n">
        <v>0.03786</v>
      </c>
      <c r="C6" s="6" t="n">
        <v>0.03786</v>
      </c>
      <c r="D6" s="7" t="n">
        <f aca="false">(C6-B6)/B6</f>
        <v>0</v>
      </c>
    </row>
    <row r="7" customFormat="false" ht="15" hidden="false" customHeight="false" outlineLevel="0" collapsed="false">
      <c r="A7" s="5" t="s">
        <v>33</v>
      </c>
      <c r="B7" s="6" t="n">
        <v>0.08639</v>
      </c>
      <c r="C7" s="6" t="n">
        <v>0.08639</v>
      </c>
      <c r="D7" s="7" t="n">
        <f aca="false">(C7-B7)/B7</f>
        <v>0</v>
      </c>
    </row>
    <row r="8" customFormat="false" ht="15" hidden="false" customHeight="false" outlineLevel="0" collapsed="false">
      <c r="A8" s="5" t="s">
        <v>34</v>
      </c>
      <c r="B8" s="6" t="n">
        <v>0.01046</v>
      </c>
      <c r="C8" s="6" t="n">
        <v>0.01046</v>
      </c>
      <c r="D8" s="7" t="n">
        <f aca="false">(C8-B8)/B8</f>
        <v>0</v>
      </c>
    </row>
    <row r="10" customFormat="false" ht="15" hidden="false" customHeight="false" outlineLevel="0" collapsed="false">
      <c r="A10" s="8" t="s">
        <v>35</v>
      </c>
      <c r="B10" s="8"/>
      <c r="C10" s="8"/>
      <c r="D10" s="8"/>
    </row>
  </sheetData>
  <mergeCells count="3">
    <mergeCell ref="A1:D1"/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29.85" hidden="false" customHeight="true" outlineLevel="0" collapsed="false">
      <c r="A1" s="1" t="s">
        <v>36</v>
      </c>
      <c r="B1" s="1"/>
      <c r="C1" s="1"/>
      <c r="D1" s="1"/>
      <c r="E1" s="1"/>
    </row>
    <row r="2" customFormat="false" ht="30" hidden="false" customHeight="true" outlineLevel="0" collapsed="false">
      <c r="A2" s="2" t="s">
        <v>37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</row>
    <row r="5" customFormat="false" ht="15" hidden="false" customHeight="false" outlineLevel="0" collapsed="false">
      <c r="A5" s="5" t="s">
        <v>43</v>
      </c>
      <c r="B5" s="5" t="n">
        <v>0.701</v>
      </c>
      <c r="C5" s="5" t="s">
        <v>44</v>
      </c>
      <c r="D5" s="5" t="s">
        <v>45</v>
      </c>
      <c r="E5" s="9" t="s">
        <v>46</v>
      </c>
    </row>
    <row r="6" customFormat="false" ht="15" hidden="false" customHeight="false" outlineLevel="0" collapsed="false">
      <c r="A6" s="5" t="s">
        <v>47</v>
      </c>
      <c r="B6" s="5" t="n">
        <v>0.64</v>
      </c>
      <c r="C6" s="5" t="s">
        <v>44</v>
      </c>
      <c r="D6" s="5" t="s">
        <v>48</v>
      </c>
      <c r="E6" s="9" t="s">
        <v>46</v>
      </c>
    </row>
    <row r="7" customFormat="false" ht="15" hidden="false" customHeight="false" outlineLevel="0" collapsed="false">
      <c r="A7" s="5" t="s">
        <v>49</v>
      </c>
      <c r="B7" s="5" t="n">
        <v>0.441</v>
      </c>
      <c r="C7" s="5" t="s">
        <v>44</v>
      </c>
      <c r="D7" s="5" t="s">
        <v>48</v>
      </c>
      <c r="E7" s="9" t="s">
        <v>46</v>
      </c>
    </row>
    <row r="8" customFormat="false" ht="15" hidden="false" customHeight="false" outlineLevel="0" collapsed="false">
      <c r="A8" s="5" t="s">
        <v>50</v>
      </c>
      <c r="B8" s="5" t="n">
        <v>0.794</v>
      </c>
      <c r="C8" s="5" t="s">
        <v>51</v>
      </c>
      <c r="D8" s="5" t="s">
        <v>52</v>
      </c>
      <c r="E8" s="10" t="s">
        <v>53</v>
      </c>
    </row>
    <row r="9" customFormat="false" ht="15" hidden="false" customHeight="false" outlineLevel="0" collapsed="false">
      <c r="A9" s="11" t="s">
        <v>54</v>
      </c>
      <c r="B9" s="5" t="str">
        <f aca="false">COUNTIF(E5:E8,"FIXED")&amp;"/"&amp;COUNTA(E5:E8)</f>
        <v>3/4</v>
      </c>
    </row>
    <row r="10" customFormat="false" ht="15" hidden="false" customHeight="false" outlineLevel="0" collapsed="false">
      <c r="A10" s="11" t="s">
        <v>55</v>
      </c>
      <c r="B10" s="12" t="n">
        <v>0.887</v>
      </c>
    </row>
    <row r="12" customFormat="false" ht="15" hidden="false" customHeight="false" outlineLevel="0" collapsed="false">
      <c r="A12" s="8" t="s">
        <v>56</v>
      </c>
      <c r="B12" s="8"/>
      <c r="C12" s="8"/>
      <c r="D12" s="8"/>
      <c r="E12" s="8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2"/>
  </cols>
  <sheetData>
    <row r="1" customFormat="false" ht="16.15" hidden="false" customHeight="true" outlineLevel="0" collapsed="false">
      <c r="A1" s="1" t="s">
        <v>57</v>
      </c>
      <c r="B1" s="1"/>
      <c r="C1" s="1"/>
      <c r="D1" s="1"/>
    </row>
    <row r="2" customFormat="false" ht="30" hidden="false" customHeight="true" outlineLevel="0" collapsed="false">
      <c r="A2" s="2" t="s">
        <v>58</v>
      </c>
      <c r="B2" s="2"/>
      <c r="C2" s="2"/>
      <c r="D2" s="2"/>
    </row>
    <row r="4" customFormat="false" ht="26.85" hidden="false" customHeight="false" outlineLevel="0" collapsed="false">
      <c r="A4" s="3" t="s">
        <v>27</v>
      </c>
      <c r="B4" s="3" t="s">
        <v>59</v>
      </c>
      <c r="C4" s="3" t="s">
        <v>60</v>
      </c>
      <c r="D4" s="3" t="s">
        <v>30</v>
      </c>
    </row>
    <row r="5" customFormat="false" ht="15" hidden="false" customHeight="false" outlineLevel="0" collapsed="false">
      <c r="A5" s="5" t="s">
        <v>31</v>
      </c>
      <c r="B5" s="6" t="n">
        <v>0.76979</v>
      </c>
      <c r="C5" s="6" t="n">
        <v>0.76979</v>
      </c>
      <c r="D5" s="7" t="n">
        <f aca="false">(C5-B5)/B5</f>
        <v>0</v>
      </c>
    </row>
    <row r="6" customFormat="false" ht="15" hidden="false" customHeight="false" outlineLevel="0" collapsed="false">
      <c r="A6" s="5" t="s">
        <v>32</v>
      </c>
      <c r="B6" s="6" t="n">
        <v>0.03786</v>
      </c>
      <c r="C6" s="6" t="n">
        <v>0.06567</v>
      </c>
      <c r="D6" s="7" t="n">
        <f aca="false">(C6-B6)/B6</f>
        <v>0.734548335974644</v>
      </c>
    </row>
    <row r="7" customFormat="false" ht="15" hidden="false" customHeight="false" outlineLevel="0" collapsed="false">
      <c r="A7" s="5" t="s">
        <v>33</v>
      </c>
      <c r="B7" s="6" t="n">
        <v>0.08639</v>
      </c>
      <c r="C7" s="6" t="n">
        <v>0.26509</v>
      </c>
      <c r="D7" s="7" t="n">
        <f aca="false">(C7-B7)/B7</f>
        <v>2.06852644982058</v>
      </c>
    </row>
    <row r="8" customFormat="false" ht="15" hidden="false" customHeight="false" outlineLevel="0" collapsed="false">
      <c r="A8" s="5" t="s">
        <v>34</v>
      </c>
      <c r="B8" s="6" t="n">
        <v>0.48072</v>
      </c>
      <c r="C8" s="6" t="n">
        <v>0.48072</v>
      </c>
      <c r="D8" s="7" t="n">
        <f aca="false">(C8-B8)/B8</f>
        <v>0</v>
      </c>
    </row>
    <row r="10" customFormat="false" ht="15" hidden="false" customHeight="false" outlineLevel="0" collapsed="false">
      <c r="A10" s="8" t="s">
        <v>61</v>
      </c>
      <c r="B10" s="8"/>
      <c r="C10" s="8"/>
      <c r="D10" s="8"/>
    </row>
  </sheetData>
  <mergeCells count="3">
    <mergeCell ref="A1:D1"/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</cols>
  <sheetData>
    <row r="1" customFormat="false" ht="16.15" hidden="false" customHeight="true" outlineLevel="0" collapsed="false">
      <c r="A1" s="1" t="s">
        <v>62</v>
      </c>
      <c r="B1" s="1"/>
      <c r="C1" s="1"/>
    </row>
    <row r="2" customFormat="false" ht="30" hidden="false" customHeight="true" outlineLevel="0" collapsed="false">
      <c r="A2" s="2" t="s">
        <v>63</v>
      </c>
      <c r="B2" s="2"/>
      <c r="C2" s="2"/>
    </row>
    <row r="4" customFormat="false" ht="26.85" hidden="false" customHeight="false" outlineLevel="0" collapsed="false">
      <c r="A4" s="3" t="s">
        <v>64</v>
      </c>
      <c r="B4" s="3" t="s">
        <v>65</v>
      </c>
      <c r="C4" s="3" t="s">
        <v>66</v>
      </c>
    </row>
    <row r="5" customFormat="false" ht="15" hidden="false" customHeight="false" outlineLevel="0" collapsed="false">
      <c r="A5" s="5" t="s">
        <v>50</v>
      </c>
      <c r="B5" s="13" t="n">
        <v>5</v>
      </c>
      <c r="C5" s="10" t="s">
        <v>67</v>
      </c>
    </row>
    <row r="6" customFormat="false" ht="15" hidden="false" customHeight="false" outlineLevel="0" collapsed="false">
      <c r="A6" s="5" t="s">
        <v>47</v>
      </c>
      <c r="B6" s="13" t="n">
        <v>5</v>
      </c>
      <c r="C6" s="10" t="s">
        <v>67</v>
      </c>
    </row>
    <row r="7" customFormat="false" ht="15" hidden="false" customHeight="false" outlineLevel="0" collapsed="false">
      <c r="A7" s="5" t="s">
        <v>68</v>
      </c>
      <c r="B7" s="13" t="n">
        <v>5</v>
      </c>
      <c r="C7" s="10" t="s">
        <v>67</v>
      </c>
    </row>
    <row r="8" customFormat="false" ht="15" hidden="false" customHeight="false" outlineLevel="0" collapsed="false">
      <c r="A8" s="5" t="s">
        <v>43</v>
      </c>
      <c r="B8" s="13" t="n">
        <v>5</v>
      </c>
      <c r="C8" s="10" t="s">
        <v>67</v>
      </c>
    </row>
    <row r="9" customFormat="false" ht="15" hidden="false" customHeight="false" outlineLevel="0" collapsed="false">
      <c r="A9" s="5" t="s">
        <v>69</v>
      </c>
      <c r="B9" s="13" t="n">
        <v>5</v>
      </c>
      <c r="C9" s="10" t="s">
        <v>67</v>
      </c>
    </row>
    <row r="10" customFormat="false" ht="15" hidden="false" customHeight="false" outlineLevel="0" collapsed="false">
      <c r="A10" s="5" t="s">
        <v>49</v>
      </c>
      <c r="B10" s="13" t="n">
        <v>2</v>
      </c>
      <c r="C10" s="14" t="s">
        <v>70</v>
      </c>
    </row>
    <row r="11" customFormat="false" ht="15" hidden="false" customHeight="false" outlineLevel="0" collapsed="false">
      <c r="A11" s="5" t="s">
        <v>71</v>
      </c>
      <c r="B11" s="13" t="n">
        <v>2</v>
      </c>
      <c r="C11" s="14" t="s">
        <v>70</v>
      </c>
    </row>
    <row r="12" customFormat="false" ht="15" hidden="false" customHeight="false" outlineLevel="0" collapsed="false">
      <c r="A12" s="5" t="s">
        <v>72</v>
      </c>
      <c r="B12" s="13" t="n">
        <v>2</v>
      </c>
      <c r="C12" s="14" t="s">
        <v>70</v>
      </c>
    </row>
    <row r="13" customFormat="false" ht="15" hidden="false" customHeight="false" outlineLevel="0" collapsed="false">
      <c r="A13" s="5" t="s">
        <v>73</v>
      </c>
      <c r="B13" s="13" t="n">
        <v>1</v>
      </c>
      <c r="C13" s="14" t="s">
        <v>70</v>
      </c>
    </row>
    <row r="15" customFormat="false" ht="15" hidden="false" customHeight="false" outlineLevel="0" collapsed="false">
      <c r="A15" s="8" t="s">
        <v>74</v>
      </c>
      <c r="B15" s="8"/>
      <c r="C15" s="8"/>
    </row>
  </sheetData>
  <mergeCells count="3">
    <mergeCell ref="A1:C1"/>
    <mergeCell ref="A2:C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24"/>
  </cols>
  <sheetData>
    <row r="1" customFormat="false" ht="29.85" hidden="false" customHeight="true" outlineLevel="0" collapsed="false">
      <c r="A1" s="1" t="s">
        <v>75</v>
      </c>
      <c r="B1" s="1"/>
      <c r="C1" s="1"/>
    </row>
    <row r="2" customFormat="false" ht="30" hidden="false" customHeight="true" outlineLevel="0" collapsed="false">
      <c r="A2" s="2" t="s">
        <v>76</v>
      </c>
      <c r="B2" s="2"/>
      <c r="C2" s="2"/>
    </row>
    <row r="4" customFormat="false" ht="26.85" hidden="false" customHeight="false" outlineLevel="0" collapsed="false">
      <c r="A4" s="3" t="s">
        <v>77</v>
      </c>
      <c r="B4" s="3" t="s">
        <v>78</v>
      </c>
      <c r="C4" s="3" t="s">
        <v>79</v>
      </c>
    </row>
    <row r="5" customFormat="false" ht="15" hidden="false" customHeight="false" outlineLevel="0" collapsed="false">
      <c r="A5" s="5" t="s">
        <v>80</v>
      </c>
      <c r="B5" s="6" t="n">
        <v>0.99604</v>
      </c>
      <c r="C5" s="6" t="n">
        <v>0.99614</v>
      </c>
    </row>
    <row r="6" customFormat="false" ht="15" hidden="false" customHeight="false" outlineLevel="0" collapsed="false">
      <c r="A6" s="5" t="s">
        <v>81</v>
      </c>
      <c r="B6" s="15" t="n">
        <v>0.636</v>
      </c>
      <c r="C6" s="15" t="n">
        <v>0.625</v>
      </c>
    </row>
    <row r="7" customFormat="false" ht="15" hidden="false" customHeight="false" outlineLevel="0" collapsed="false">
      <c r="A7" s="5" t="s">
        <v>82</v>
      </c>
      <c r="B7" s="15" t="n">
        <v>0.9761</v>
      </c>
      <c r="C7" s="15" t="n">
        <v>0.9757</v>
      </c>
    </row>
    <row r="8" customFormat="false" ht="15" hidden="false" customHeight="false" outlineLevel="0" collapsed="false">
      <c r="A8" s="5" t="s">
        <v>83</v>
      </c>
      <c r="B8" s="5" t="n">
        <v>32</v>
      </c>
    </row>
    <row r="9" customFormat="false" ht="15" hidden="false" customHeight="false" outlineLevel="0" collapsed="false">
      <c r="A9" s="5" t="s">
        <v>84</v>
      </c>
      <c r="B9" s="5" t="n">
        <v>36</v>
      </c>
    </row>
    <row r="10" customFormat="false" ht="15" hidden="false" customHeight="false" outlineLevel="0" collapsed="false">
      <c r="A10" s="11" t="s">
        <v>85</v>
      </c>
      <c r="B10" s="16" t="n">
        <f aca="false">B8/B9</f>
        <v>0.888888888888889</v>
      </c>
    </row>
    <row r="12" customFormat="false" ht="15" hidden="false" customHeight="false" outlineLevel="0" collapsed="false">
      <c r="A12" s="8" t="s">
        <v>86</v>
      </c>
      <c r="B12" s="8"/>
      <c r="C12" s="8"/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6.15" hidden="false" customHeight="true" outlineLevel="0" collapsed="false">
      <c r="A1" s="1" t="s">
        <v>87</v>
      </c>
      <c r="B1" s="1"/>
      <c r="C1" s="1"/>
      <c r="D1" s="1"/>
    </row>
    <row r="2" customFormat="false" ht="30" hidden="false" customHeight="true" outlineLevel="0" collapsed="false">
      <c r="A2" s="2" t="s">
        <v>88</v>
      </c>
      <c r="B2" s="2"/>
      <c r="C2" s="2"/>
      <c r="D2" s="2"/>
    </row>
    <row r="4" customFormat="false" ht="26.85" hidden="false" customHeight="false" outlineLevel="0" collapsed="false">
      <c r="A4" s="3" t="s">
        <v>89</v>
      </c>
      <c r="B4" s="3" t="s">
        <v>90</v>
      </c>
      <c r="C4" s="3" t="s">
        <v>91</v>
      </c>
      <c r="D4" s="3" t="s">
        <v>92</v>
      </c>
    </row>
    <row r="5" customFormat="false" ht="15" hidden="false" customHeight="false" outlineLevel="0" collapsed="false">
      <c r="A5" s="5" t="s">
        <v>93</v>
      </c>
      <c r="B5" s="12" t="n">
        <v>0.01</v>
      </c>
      <c r="C5" s="12" t="n">
        <v>0.7</v>
      </c>
      <c r="D5" s="12" t="n">
        <v>0.507</v>
      </c>
    </row>
    <row r="6" customFormat="false" ht="15" hidden="false" customHeight="false" outlineLevel="0" collapsed="false">
      <c r="A6" s="5" t="s">
        <v>94</v>
      </c>
      <c r="B6" s="12" t="n">
        <v>0.01</v>
      </c>
      <c r="C6" s="12" t="n">
        <v>0.88</v>
      </c>
      <c r="D6" s="12" t="n">
        <v>0.8</v>
      </c>
    </row>
    <row r="7" customFormat="false" ht="15" hidden="false" customHeight="false" outlineLevel="0" collapsed="false">
      <c r="A7" s="5" t="s">
        <v>95</v>
      </c>
      <c r="B7" s="12" t="n">
        <v>0.01</v>
      </c>
      <c r="C7" s="12" t="n">
        <v>0.613</v>
      </c>
      <c r="D7" s="12" t="n">
        <v>0.447</v>
      </c>
    </row>
    <row r="9" customFormat="false" ht="15" hidden="false" customHeight="false" outlineLevel="0" collapsed="false">
      <c r="A9" s="11" t="s">
        <v>96</v>
      </c>
      <c r="B9" s="17" t="n">
        <v>0.03</v>
      </c>
    </row>
    <row r="10" customFormat="false" ht="15" hidden="false" customHeight="false" outlineLevel="0" collapsed="false">
      <c r="A10" s="11" t="s">
        <v>97</v>
      </c>
      <c r="B10" s="17" t="n">
        <f aca="false">1-(1-0.01)^3</f>
        <v>0.029701</v>
      </c>
    </row>
    <row r="11" customFormat="false" ht="15" hidden="false" customHeight="false" outlineLevel="0" collapsed="false">
      <c r="A11" s="11" t="s">
        <v>98</v>
      </c>
      <c r="B11" s="17" t="n">
        <v>0.0101</v>
      </c>
    </row>
    <row r="12" customFormat="false" ht="15" hidden="false" customHeight="false" outlineLevel="0" collapsed="false">
      <c r="A12" s="11" t="s">
        <v>99</v>
      </c>
      <c r="B12" s="17" t="n">
        <v>0.01</v>
      </c>
    </row>
    <row r="14" customFormat="false" ht="15" hidden="false" customHeight="false" outlineLevel="0" collapsed="false">
      <c r="A14" s="8" t="s">
        <v>100</v>
      </c>
      <c r="B14" s="8"/>
      <c r="C14" s="8"/>
      <c r="D14" s="8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55"/>
  </cols>
  <sheetData>
    <row r="1" customFormat="false" ht="16.15" hidden="false" customHeight="true" outlineLevel="0" collapsed="false">
      <c r="A1" s="1" t="s">
        <v>101</v>
      </c>
      <c r="B1" s="1"/>
      <c r="C1" s="1"/>
      <c r="D1" s="1"/>
    </row>
    <row r="2" customFormat="false" ht="30" hidden="false" customHeight="true" outlineLevel="0" collapsed="false">
      <c r="A2" s="2" t="s">
        <v>102</v>
      </c>
      <c r="B2" s="2"/>
      <c r="C2" s="2"/>
      <c r="D2" s="2"/>
    </row>
    <row r="4" customFormat="false" ht="26.8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106</v>
      </c>
    </row>
    <row r="5" customFormat="false" ht="23.85" hidden="false" customHeight="false" outlineLevel="0" collapsed="false">
      <c r="A5" s="5" t="s">
        <v>31</v>
      </c>
      <c r="B5" s="5" t="s">
        <v>33</v>
      </c>
      <c r="C5" s="5" t="s">
        <v>31</v>
      </c>
      <c r="D5" s="18" t="s">
        <v>107</v>
      </c>
    </row>
    <row r="6" customFormat="false" ht="23.85" hidden="false" customHeight="false" outlineLevel="0" collapsed="false">
      <c r="A6" s="5" t="s">
        <v>31</v>
      </c>
      <c r="B6" s="5" t="s">
        <v>33</v>
      </c>
      <c r="C6" s="5" t="s">
        <v>31</v>
      </c>
      <c r="D6" s="18" t="s">
        <v>108</v>
      </c>
    </row>
    <row r="7" customFormat="false" ht="23.85" hidden="false" customHeight="false" outlineLevel="0" collapsed="false">
      <c r="A7" s="5" t="s">
        <v>33</v>
      </c>
      <c r="B7" s="5" t="s">
        <v>34</v>
      </c>
      <c r="C7" s="5" t="s">
        <v>94</v>
      </c>
      <c r="D7" s="18" t="s">
        <v>109</v>
      </c>
    </row>
    <row r="8" customFormat="false" ht="23.85" hidden="false" customHeight="false" outlineLevel="0" collapsed="false">
      <c r="A8" s="5" t="s">
        <v>33</v>
      </c>
      <c r="B8" s="5" t="s">
        <v>32</v>
      </c>
      <c r="C8" s="5" t="s">
        <v>94</v>
      </c>
      <c r="D8" s="18" t="s">
        <v>110</v>
      </c>
    </row>
    <row r="9" customFormat="false" ht="15" hidden="false" customHeight="false" outlineLevel="0" collapsed="false">
      <c r="A9" s="5" t="s">
        <v>32</v>
      </c>
      <c r="B9" s="5" t="s">
        <v>32</v>
      </c>
      <c r="C9" s="5" t="s">
        <v>94</v>
      </c>
      <c r="D9" s="18" t="s">
        <v>111</v>
      </c>
    </row>
    <row r="10" customFormat="false" ht="15" hidden="false" customHeight="false" outlineLevel="0" collapsed="false">
      <c r="A10" s="5" t="s">
        <v>34</v>
      </c>
      <c r="B10" s="5" t="s">
        <v>32</v>
      </c>
      <c r="C10" s="5" t="s">
        <v>94</v>
      </c>
      <c r="D10" s="18" t="s">
        <v>112</v>
      </c>
    </row>
    <row r="12" customFormat="false" ht="15" hidden="false" customHeight="false" outlineLevel="0" collapsed="false">
      <c r="A12" s="8" t="s">
        <v>113</v>
      </c>
      <c r="B12" s="8"/>
      <c r="C12" s="8"/>
      <c r="D12" s="8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16.15" hidden="false" customHeight="true" outlineLevel="0" collapsed="false">
      <c r="A1" s="1" t="s">
        <v>114</v>
      </c>
      <c r="B1" s="1"/>
      <c r="C1" s="1"/>
    </row>
    <row r="2" customFormat="false" ht="30" hidden="false" customHeight="true" outlineLevel="0" collapsed="false">
      <c r="A2" s="2" t="s">
        <v>115</v>
      </c>
      <c r="B2" s="2"/>
      <c r="C2" s="2"/>
    </row>
    <row r="4" customFormat="false" ht="26.85" hidden="false" customHeight="false" outlineLevel="0" collapsed="false">
      <c r="A4" s="3" t="s">
        <v>77</v>
      </c>
      <c r="B4" s="3" t="s">
        <v>116</v>
      </c>
      <c r="C4" s="3" t="s">
        <v>117</v>
      </c>
    </row>
    <row r="5" customFormat="false" ht="15" hidden="false" customHeight="false" outlineLevel="0" collapsed="false">
      <c r="A5" s="5" t="s">
        <v>118</v>
      </c>
      <c r="B5" s="19" t="n">
        <v>0.0031</v>
      </c>
      <c r="C5" s="19" t="n">
        <v>0.9943</v>
      </c>
    </row>
    <row r="6" customFormat="false" ht="15" hidden="false" customHeight="false" outlineLevel="0" collapsed="false">
      <c r="A6" s="5" t="s">
        <v>119</v>
      </c>
      <c r="B6" s="20" t="n">
        <v>1</v>
      </c>
      <c r="C6" s="20" t="n">
        <v>0.92</v>
      </c>
    </row>
    <row r="7" customFormat="false" ht="15" hidden="false" customHeight="false" outlineLevel="0" collapsed="false">
      <c r="A7" s="5" t="s">
        <v>120</v>
      </c>
      <c r="B7" s="20" t="n">
        <v>0.016</v>
      </c>
      <c r="C7" s="20" t="n">
        <v>0</v>
      </c>
    </row>
    <row r="9" customFormat="false" ht="15" hidden="false" customHeight="false" outlineLevel="0" collapsed="false">
      <c r="A9" s="8" t="s">
        <v>121</v>
      </c>
      <c r="B9" s="8"/>
      <c r="C9" s="8"/>
    </row>
  </sheetData>
  <mergeCells count="3">
    <mergeCell ref="A1:C1"/>
    <mergeCell ref="A2:C2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6.15" hidden="false" customHeight="true" outlineLevel="0" collapsed="false">
      <c r="A1" s="1" t="s">
        <v>122</v>
      </c>
      <c r="B1" s="1"/>
      <c r="C1" s="1"/>
      <c r="D1" s="1"/>
      <c r="E1" s="1"/>
    </row>
    <row r="2" customFormat="false" ht="30" hidden="false" customHeight="true" outlineLevel="0" collapsed="false">
      <c r="A2" s="2" t="s">
        <v>123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</row>
    <row r="5" customFormat="false" ht="15" hidden="false" customHeight="false" outlineLevel="0" collapsed="false">
      <c r="A5" s="5" t="s">
        <v>129</v>
      </c>
      <c r="B5" s="19" t="n">
        <v>2.1466069276</v>
      </c>
      <c r="C5" s="5" t="s">
        <v>130</v>
      </c>
      <c r="D5" s="5" t="s">
        <v>130</v>
      </c>
      <c r="E5" s="14" t="s">
        <v>130</v>
      </c>
    </row>
    <row r="6" customFormat="false" ht="15" hidden="false" customHeight="false" outlineLevel="0" collapsed="false">
      <c r="A6" s="5" t="s">
        <v>131</v>
      </c>
      <c r="B6" s="19" t="n">
        <v>2.1466069244</v>
      </c>
      <c r="C6" s="21" t="n">
        <f aca="false">(B6-B5)/B5</f>
        <v>-1.49072483817376E-009</v>
      </c>
      <c r="D6" s="5" t="n">
        <v>2</v>
      </c>
      <c r="E6" s="14" t="s">
        <v>132</v>
      </c>
    </row>
    <row r="7" customFormat="false" ht="15" hidden="false" customHeight="false" outlineLevel="0" collapsed="false">
      <c r="A7" s="5" t="s">
        <v>133</v>
      </c>
      <c r="B7" s="19" t="n">
        <v>1.4536902334</v>
      </c>
      <c r="C7" s="21" t="n">
        <f aca="false">(B7-B5)/B5</f>
        <v>-0.32279626292584</v>
      </c>
      <c r="D7" s="5" t="n">
        <v>3</v>
      </c>
      <c r="E7" s="14" t="s">
        <v>132</v>
      </c>
    </row>
    <row r="8" customFormat="false" ht="15" hidden="false" customHeight="false" outlineLevel="0" collapsed="false">
      <c r="A8" s="5" t="s">
        <v>134</v>
      </c>
      <c r="B8" s="19" t="n">
        <v>2.1466069292</v>
      </c>
      <c r="C8" s="21" t="n">
        <f aca="false">(B8-B5)/B5</f>
        <v>7.45362212207268E-010</v>
      </c>
      <c r="D8" s="5" t="n">
        <v>1</v>
      </c>
      <c r="E8" s="14" t="s">
        <v>132</v>
      </c>
    </row>
    <row r="9" customFormat="false" ht="15" hidden="false" customHeight="false" outlineLevel="0" collapsed="false">
      <c r="A9" s="5" t="s">
        <v>135</v>
      </c>
      <c r="B9" s="19" t="n">
        <v>1.3046079307</v>
      </c>
      <c r="C9" s="21" t="n">
        <f aca="false">(B9-B5)/B5</f>
        <v>-0.392246473294201</v>
      </c>
      <c r="D9" s="5" t="n">
        <v>2</v>
      </c>
      <c r="E9" s="9" t="s">
        <v>136</v>
      </c>
    </row>
    <row r="11" customFormat="false" ht="15" hidden="false" customHeight="false" outlineLevel="0" collapsed="false">
      <c r="A11" s="8" t="s">
        <v>137</v>
      </c>
      <c r="B11" s="8"/>
      <c r="C11" s="8"/>
      <c r="D11" s="8"/>
      <c r="E11" s="8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2026-08-04T11:30:48Z</dcterms:created>
  <dc:creator>openpyxl</dc:creator>
  <dc:description/>
  <dc:language>en-US</dc:language>
  <cp:lastModifiedBy/>
  <dcterms:modified xsi:type="dcterms:W3CDTF">2026-08-04T11:30:59Z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